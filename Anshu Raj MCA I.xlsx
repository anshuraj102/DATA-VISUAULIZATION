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84" yWindow="36" windowWidth="16260" windowHeight="5856"/>
  </bookViews>
  <sheets>
    <sheet name="Dashboard" sheetId="1" r:id="rId1"/>
    <sheet name="Data" sheetId="2" r:id="rId2"/>
    <sheet name="PivotTable" sheetId="3" r:id="rId3"/>
  </sheets>
  <definedNames>
    <definedName name="Slicer_Department">#N/A</definedName>
    <definedName name="Slicer_Gender">#N/A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6" i="3" l="1"/>
  <c r="X15" i="3" l="1"/>
  <c r="X14" i="3"/>
  <c r="X13" i="3"/>
  <c r="X12" i="3"/>
  <c r="X11" i="3"/>
  <c r="U15" i="3"/>
  <c r="U14" i="3"/>
  <c r="U13" i="3"/>
  <c r="U12" i="3"/>
  <c r="U11" i="3"/>
  <c r="G15" i="3"/>
  <c r="G14" i="3"/>
  <c r="G13" i="3"/>
  <c r="G12" i="3"/>
  <c r="G11" i="3"/>
  <c r="O11" i="3"/>
  <c r="O10" i="3"/>
  <c r="O9" i="3"/>
  <c r="J15" i="3"/>
  <c r="J21" i="3"/>
  <c r="J20" i="3"/>
  <c r="R15" i="3"/>
  <c r="R14" i="3"/>
  <c r="R13" i="3"/>
  <c r="R12" i="3"/>
  <c r="R11" i="3"/>
  <c r="U16" i="3" l="1"/>
  <c r="X16" i="3"/>
  <c r="R16" i="3"/>
  <c r="N14" i="3"/>
  <c r="O14" i="3" s="1"/>
  <c r="O12" i="3"/>
  <c r="N15" i="3"/>
  <c r="O15" i="3" s="1"/>
  <c r="N16" i="3"/>
  <c r="O16" i="3" s="1"/>
  <c r="J22" i="3"/>
  <c r="K21" i="3"/>
  <c r="L21" i="3" s="1"/>
  <c r="K20" i="3"/>
  <c r="L20" i="3" s="1"/>
  <c r="F11" i="3"/>
  <c r="C11" i="3"/>
  <c r="C10" i="3"/>
  <c r="C9" i="3"/>
  <c r="J16" i="3"/>
  <c r="J14" i="3"/>
  <c r="J13" i="3"/>
  <c r="J12" i="3"/>
  <c r="F15" i="3"/>
  <c r="F14" i="3"/>
  <c r="F13" i="3"/>
  <c r="F12" i="3"/>
  <c r="J17" i="3" l="1"/>
  <c r="C12" i="3"/>
  <c r="F16" i="3"/>
</calcChain>
</file>

<file path=xl/sharedStrings.xml><?xml version="1.0" encoding="utf-8"?>
<sst xmlns="http://schemas.openxmlformats.org/spreadsheetml/2006/main" count="876" uniqueCount="229">
  <si>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</si>
  <si>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</si>
  <si>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</si>
  <si>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</si>
  <si>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</si>
  <si>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</si>
  <si>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</si>
  <si>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</si>
  <si>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</si>
  <si>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</si>
  <si>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</si>
  <si>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</si>
  <si>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</si>
  <si>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</si>
  <si>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</si>
  <si>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</si>
  <si>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</si>
  <si>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</si>
  <si>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</si>
  <si>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</si>
  <si>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</si>
  <si>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</si>
  <si>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</si>
  <si>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</si>
  <si>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</si>
  <si>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</si>
  <si>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</si>
  <si>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</si>
  <si>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</si>
  <si>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</si>
  <si>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</si>
  <si>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</si>
  <si>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</si>
  <si>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</si>
  <si>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</si>
  <si>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</si>
  <si>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</si>
  <si>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</si>
  <si>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</si>
  <si>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</si>
  <si>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</si>
  <si>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</si>
  <si>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</si>
  <si>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</si>
  <si>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</si>
  <si>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</si>
  <si>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</si>
  <si>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</si>
  <si>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</si>
  <si>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</si>
  <si>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</si>
  <si>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</si>
  <si>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</si>
  <si>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</si>
  <si>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</si>
  <si>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</si>
  <si>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</si>
  <si>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</si>
  <si>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</si>
  <si>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</si>
  <si>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</si>
  <si>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</si>
  <si>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</si>
  <si>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</si>
  <si>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</si>
  <si>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</si>
  <si>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</si>
  <si>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</si>
  <si>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</si>
  <si>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</si>
  <si>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</si>
  <si>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</si>
  <si>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</si>
  <si>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</si>
  <si>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</si>
  <si>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</si>
  <si>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</si>
  <si>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</si>
  <si>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</si>
  <si>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</si>
  <si>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</si>
  <si>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</si>
  <si>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</si>
  <si>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</si>
  <si>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</si>
  <si>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</si>
  <si>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</si>
  <si>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</si>
  <si>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</si>
  <si>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</si>
  <si>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</si>
  <si>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</si>
  <si>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</si>
  <si>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</si>
  <si>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</si>
  <si>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</si>
  <si>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</si>
  <si>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</si>
  <si>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</si>
  <si>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</si>
  <si>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</si>
  <si>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</si>
  <si>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</si>
  <si>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</si>
  <si>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</si>
  <si>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</si>
  <si>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</si>
  <si>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</si>
  <si>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</si>
  <si>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</si>
  <si>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</si>
  <si>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</si>
  <si>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</si>
  <si>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</si>
  <si>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</si>
  <si>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</si>
  <si>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</si>
  <si>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</si>
  <si>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</si>
  <si>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</si>
  <si>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</si>
  <si>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</si>
  <si>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</si>
  <si>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</si>
  <si>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</si>
  <si>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</si>
  <si>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</si>
  <si>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</si>
  <si>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</si>
  <si>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</si>
  <si>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</si>
  <si>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</si>
  <si>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</si>
  <si>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</si>
  <si>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</si>
  <si>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</si>
  <si>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</si>
  <si>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</si>
  <si>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</si>
  <si>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</si>
  <si>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</si>
  <si>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</si>
  <si>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</si>
  <si>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</si>
  <si>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</si>
  <si>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</si>
  <si>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</si>
  <si>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</si>
  <si>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</si>
  <si>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</si>
  <si>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</si>
  <si>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</si>
  <si>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</si>
  <si>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</si>
  <si>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</si>
  <si>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</si>
  <si>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</si>
  <si>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</si>
  <si>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</si>
  <si>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</si>
  <si>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</si>
  <si>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</si>
  <si>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</si>
  <si>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</si>
  <si>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</si>
  <si>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</si>
  <si>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</si>
  <si>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</si>
  <si>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</si>
  <si>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</si>
  <si>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</si>
  <si>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</si>
  <si>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</si>
  <si>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</si>
  <si>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</si>
  <si>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</si>
  <si>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</si>
  <si>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</si>
  <si>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</si>
  <si>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</si>
  <si>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</si>
  <si>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</si>
  <si>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</si>
  <si>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</si>
  <si>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</si>
  <si>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</si>
  <si>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</si>
  <si>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</si>
  <si>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</si>
  <si>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</si>
  <si>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</si>
  <si>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</si>
  <si>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</si>
  <si>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</si>
  <si>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</si>
  <si>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</si>
  <si>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</si>
  <si>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</si>
  <si>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</si>
  <si>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</si>
  <si>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</si>
  <si>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</si>
  <si>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</si>
  <si>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</si>
  <si>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</si>
  <si>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</si>
  <si>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</si>
  <si>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</si>
  <si>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</si>
  <si>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</si>
  <si>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</si>
  <si>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</si>
  <si>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</si>
  <si>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</si>
  <si>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</si>
  <si>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</si>
  <si>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</si>
  <si>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No. of Employees to Employment Status</t>
  </si>
  <si>
    <t>Total</t>
  </si>
  <si>
    <t>Sum of Salary</t>
  </si>
  <si>
    <t>Salaries of Department</t>
  </si>
  <si>
    <t>Column Labels</t>
  </si>
  <si>
    <t>Age Range to Gender</t>
  </si>
  <si>
    <t xml:space="preserve">Male </t>
  </si>
  <si>
    <t>Work Place</t>
  </si>
  <si>
    <t>Sum of Leave Taken</t>
  </si>
  <si>
    <t>Average of Performance Rating</t>
  </si>
  <si>
    <t>Regions</t>
  </si>
  <si>
    <t>Departments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</si>
</sst>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 &quot;₹&quot;\ * #,##0.00_ ;_ &quot;₹&quot;\ * \-#,##0.00_ ;_ &quot;₹&quot;\ * &quot;-&quot;??_ ;_ @_ "/>
    <numFmt numFmtId="43" formatCode="_ * #,##0.00_ ;_ * \-#,##0.00_ ;_ * &quot;-&quot;??_ ;_ @_ "/>
    <numFmt numFmtId="164" formatCode="_ [$₹-4009]\ * #,##0.00_ ;_ [$₹-4009]\ * \-#,##0.00_ ;_ [$₹-4009]\ * &quot;-&quot;??_ ;_ @_ "/>
    <numFmt numFmtId="165" formatCode="0.0"/>
  </numFmts>
  <fonts count="7">
    <font>
      <sz val="11"/>
      <color theme="1"/>
      <name val="Calibri"/>
      <family val="2"/>
      <scheme val="minor"/>
    </font>
    <font>
      <sz val="11"/>
      <color theme="1"/>
      <name val="Calibri"/>
      <family val="2"/>
      <scheme val="minor"/>
    </font>
    <font>
      <b/>
      <sz val="11"/>
      <color theme="0" tint="-4.9989318521683403E-2"/>
      <name val="Kulim Park"/>
    </font>
    <font>
      <sz val="11"/>
      <color theme="1"/>
      <name val="Kulim Park"/>
    </font>
    <font>
      <sz val="11"/>
      <color theme="0" tint="-4.9989318521683403E-2"/>
      <name val="Kulim Park"/>
    </font>
    <font>
      <sz val="10"/>
      <color theme="1"/>
      <name val="Times New Roman"/>
      <family val="1"/>
    </font>
    <font>
      <b/>
      <sz val="10"/>
      <color theme="0"/>
      <name val="Times New Roman"/>
      <family val="1"/>
    </font>
  </fonts>
  <fills count="4">
    <fill>
      <patternFill patternType="none"/>
    </fill>
    <fill>
      <patternFill patternType="gray125"/>
    </fill>
    <fill>
      <patternFill patternType="solid">
        <fgColor rgb="FF282828"/>
        <bgColor indexed="64"/>
      </patternFill>
    </fill>
    <fill>
      <patternFill patternType="solid">
        <fgColor theme="1"/>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horizontal="center" vertical="center"/>
    </xf>
    <xf numFmtId="0" fontId="5" fillId="0" borderId="0" xfId="0" applyFont="1"/>
    <xf numFmtId="0" fontId="5" fillId="0" borderId="0" xfId="0" pivotButton="1" applyFont="1"/>
    <xf numFmtId="0" fontId="5" fillId="0" borderId="0" xfId="0" applyFont="1" applyAlignment="1">
      <alignment horizontal="left"/>
    </xf>
    <xf numFmtId="0" fontId="5" fillId="0" borderId="0" xfId="0" applyNumberFormat="1" applyFont="1"/>
    <xf numFmtId="44" fontId="5" fillId="0" borderId="0" xfId="0" applyNumberFormat="1" applyFont="1"/>
    <xf numFmtId="165" fontId="5" fillId="0" borderId="0" xfId="0" applyNumberFormat="1" applyFont="1"/>
    <xf numFmtId="9" fontId="5" fillId="0" borderId="0" xfId="2" applyFont="1"/>
    <xf numFmtId="9" fontId="5" fillId="0" borderId="0" xfId="0" applyNumberFormat="1" applyFont="1"/>
    <xf numFmtId="164" fontId="5" fillId="0" borderId="0" xfId="1" applyNumberFormat="1" applyFont="1"/>
    <xf numFmtId="0" fontId="5" fillId="0" borderId="0" xfId="1" applyNumberFormat="1" applyFont="1"/>
    <xf numFmtId="0" fontId="0" fillId="0" borderId="0" xfId="0" applyAlignment="1">
      <alignment horizontal="left"/>
    </xf>
    <xf numFmtId="0" fontId="0" fillId="0" borderId="0" xfId="0" applyNumberFormat="1"/>
    <xf numFmtId="0" fontId="6" fillId="3" borderId="0" xfId="0" applyFont="1" applyFill="1" applyAlignment="1">
      <alignment horizontal="center"/>
    </xf>
  </cellXfs>
  <cellStyles count="3">
    <cellStyle name="Comma" xfId="1" builtinId="3"/>
    <cellStyle name="Normal" xfId="0" builtinId="0"/>
    <cellStyle name="Percent" xfId="2" builtinId="5"/>
  </cellStyles>
  <dxfs count="44">
    <dxf>
      <font>
        <sz val="10"/>
      </font>
    </dxf>
    <dxf>
      <font>
        <name val="Times New Roman"/>
        <scheme val="none"/>
      </font>
    </dxf>
    <dxf>
      <numFmt numFmtId="165" formatCode="0.0"/>
    </dxf>
    <dxf>
      <numFmt numFmtId="165" formatCode="0.0"/>
    </dxf>
    <dxf>
      <font>
        <sz val="10"/>
      </font>
    </dxf>
    <dxf>
      <font>
        <name val="Times New Roman"/>
        <scheme val="none"/>
      </font>
    </dxf>
    <dxf>
      <font>
        <sz val="10"/>
      </font>
    </dxf>
    <dxf>
      <font>
        <name val="Times New Roman"/>
        <scheme val="none"/>
      </font>
    </dxf>
    <dxf>
      <numFmt numFmtId="0" formatCode="General"/>
    </dxf>
    <dxf>
      <numFmt numFmtId="34" formatCode="_ &quot;₹&quot;\ * #,##0.00_ ;_ &quot;₹&quot;\ * \-#,##0.00_ ;_ &quot;₹&quot;\ * &quot;-&quot;??_ ;_ @_ "/>
    </dxf>
    <dxf>
      <font>
        <sz val="10"/>
      </font>
    </dxf>
    <dxf>
      <font>
        <name val="Times New Roman"/>
        <scheme val="none"/>
      </font>
    </dxf>
    <dxf>
      <font>
        <sz val="10"/>
      </font>
    </dxf>
    <dxf>
      <font>
        <name val="Times New Roman"/>
        <scheme val="none"/>
      </font>
    </dxf>
    <dxf>
      <font>
        <sz val="10"/>
      </font>
    </dxf>
    <dxf>
      <font>
        <name val="Times New Roman"/>
        <scheme val="none"/>
      </font>
    </dxf>
    <dxf>
      <font>
        <sz val="10"/>
      </font>
    </dxf>
    <dxf>
      <font>
        <name val="Times New Roman"/>
        <scheme val="none"/>
      </font>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ill>
        <patternFill>
          <bgColor theme="0"/>
        </patternFill>
      </fill>
    </dxf>
    <dxf>
      <font>
        <b/>
        <i val="0"/>
        <strike val="0"/>
        <sz val="12"/>
        <color theme="0"/>
        <name val="Times New Roman"/>
        <scheme val="none"/>
      </font>
      <fill>
        <patternFill patternType="solid">
          <fgColor theme="3" tint="-0.24994659260841701"/>
          <bgColor theme="3" tint="-0.24994659260841701"/>
        </patternFill>
      </fill>
      <border diagonalUp="0" diagonalDown="0">
        <left style="thin">
          <color auto="1"/>
        </left>
        <right style="thin">
          <color auto="1"/>
        </right>
        <top style="thin">
          <color auto="1"/>
        </top>
        <bottom style="thin">
          <color auto="1"/>
        </bottom>
        <vertical/>
        <horizontal/>
      </border>
    </dxf>
    <dxf>
      <font>
        <b val="0"/>
        <i val="0"/>
        <sz val="14"/>
        <color theme="3" tint="-0.24994659260841701"/>
        <name val="Times New Roman"/>
        <scheme val="none"/>
      </font>
    </dxf>
  </dxfs>
  <tableStyles count="3" defaultTableStyle="TableStyleMedium2" defaultPivotStyle="PivotStyleLight16">
    <tableStyle name="Slicer Style 1" pivot="0" table="0" count="1">
      <tableStyleElement type="wholeTable" dxfId="43"/>
    </tableStyle>
    <tableStyle name="Slicer Style 2" pivot="0" table="0" count="1">
      <tableStyleElement type="wholeTable" dxfId="42"/>
    </tableStyle>
    <tableStyle name="Slicer Style 3" pivot="0" table="0" count="1">
      <tableStyleElement type="wholeTable" dxfId="41"/>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tx1"/>
              </a:solidFill>
            </a:ln>
          </c:spPr>
          <c:cat>
            <c:strRef>
              <c:f>PivotTable!$B$9:$B$11</c:f>
              <c:strCache>
                <c:ptCount val="3"/>
                <c:pt idx="0">
                  <c:v>Contract</c:v>
                </c:pt>
                <c:pt idx="1">
                  <c:v>Full-Time</c:v>
                </c:pt>
                <c:pt idx="2">
                  <c:v>Part-Time</c:v>
                </c:pt>
              </c:strCache>
            </c:strRef>
          </c:cat>
          <c:val>
            <c:numRef>
              <c:f>PivotTable!$C$9:$C$11</c:f>
              <c:numCache>
                <c:formatCode>General</c:formatCode>
                <c:ptCount val="3"/>
                <c:pt idx="0">
                  <c:v>17</c:v>
                </c:pt>
                <c:pt idx="1">
                  <c:v>20</c:v>
                </c:pt>
                <c:pt idx="2">
                  <c:v>13</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[Anshu Raj MCA I.xlsx]PivotTable!PivotTable3</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9.0720368648138386E-2"/>
          <c:y val="8.434202103152498E-2"/>
          <c:w val="0.71060438113452729"/>
          <c:h val="0.78651211556925626"/>
        </c:manualLayout>
      </c:layout>
      <c:barChart>
        <c:barDir val="col"/>
        <c:grouping val="clustered"/>
        <c:varyColors val="0"/>
        <c:ser>
          <c:idx val="0"/>
          <c:order val="0"/>
          <c:tx>
            <c:strRef>
              <c:f>PivotTable!$J$3:$J$4</c:f>
              <c:strCache>
                <c:ptCount val="1"/>
                <c:pt idx="0">
                  <c:v>Female</c:v>
                </c:pt>
              </c:strCache>
            </c:strRef>
          </c:tx>
          <c:invertIfNegative val="0"/>
          <c:cat>
            <c:strRef>
              <c:f>PivotTable!$I$5:$I$10</c:f>
              <c:strCache>
                <c:ptCount val="5"/>
                <c:pt idx="0">
                  <c:v>18-25</c:v>
                </c:pt>
                <c:pt idx="1">
                  <c:v>26-35</c:v>
                </c:pt>
                <c:pt idx="2">
                  <c:v>36-45</c:v>
                </c:pt>
                <c:pt idx="3">
                  <c:v>46-55</c:v>
                </c:pt>
                <c:pt idx="4">
                  <c:v>56 &lt;</c:v>
                </c:pt>
              </c:strCache>
            </c:strRef>
          </c:cat>
          <c:val>
            <c:numRef>
              <c:f>PivotTable!$J$5:$J$10</c:f>
              <c:numCache>
                <c:formatCode>General</c:formatCode>
                <c:ptCount val="5"/>
                <c:pt idx="0">
                  <c:v>6</c:v>
                </c:pt>
                <c:pt idx="1">
                  <c:v>7</c:v>
                </c:pt>
                <c:pt idx="2">
                  <c:v>5</c:v>
                </c:pt>
                <c:pt idx="3">
                  <c:v>4</c:v>
                </c:pt>
                <c:pt idx="4">
                  <c:v>4</c:v>
                </c:pt>
              </c:numCache>
            </c:numRef>
          </c:val>
        </c:ser>
        <c:ser>
          <c:idx val="1"/>
          <c:order val="1"/>
          <c:tx>
            <c:strRef>
              <c:f>PivotTable!$K$3:$K$4</c:f>
              <c:strCache>
                <c:ptCount val="1"/>
                <c:pt idx="0">
                  <c:v>Male</c:v>
                </c:pt>
              </c:strCache>
            </c:strRef>
          </c:tx>
          <c:invertIfNegative val="0"/>
          <c:cat>
            <c:strRef>
              <c:f>PivotTable!$I$5:$I$10</c:f>
              <c:strCache>
                <c:ptCount val="5"/>
                <c:pt idx="0">
                  <c:v>18-25</c:v>
                </c:pt>
                <c:pt idx="1">
                  <c:v>26-35</c:v>
                </c:pt>
                <c:pt idx="2">
                  <c:v>36-45</c:v>
                </c:pt>
                <c:pt idx="3">
                  <c:v>46-55</c:v>
                </c:pt>
                <c:pt idx="4">
                  <c:v>56 &lt;</c:v>
                </c:pt>
              </c:strCache>
            </c:strRef>
          </c:cat>
          <c:val>
            <c:numRef>
              <c:f>PivotTable!$K$5:$K$10</c:f>
              <c:numCache>
                <c:formatCode>General</c:formatCode>
                <c:ptCount val="5"/>
                <c:pt idx="0">
                  <c:v>3</c:v>
                </c:pt>
                <c:pt idx="1">
                  <c:v>6</c:v>
                </c:pt>
                <c:pt idx="2">
                  <c:v>7</c:v>
                </c:pt>
                <c:pt idx="3">
                  <c:v>3</c:v>
                </c:pt>
                <c:pt idx="4">
                  <c:v>5</c:v>
                </c:pt>
              </c:numCache>
            </c:numRef>
          </c:val>
        </c:ser>
        <c:dLbls>
          <c:showLegendKey val="0"/>
          <c:showVal val="0"/>
          <c:showCatName val="0"/>
          <c:showSerName val="0"/>
          <c:showPercent val="0"/>
          <c:showBubbleSize val="0"/>
        </c:dLbls>
        <c:gapWidth val="150"/>
        <c:axId val="214455424"/>
        <c:axId val="214456960"/>
      </c:barChart>
      <c:catAx>
        <c:axId val="214455424"/>
        <c:scaling>
          <c:orientation val="minMax"/>
        </c:scaling>
        <c:delete val="0"/>
        <c:axPos val="b"/>
        <c:majorTickMark val="out"/>
        <c:minorTickMark val="none"/>
        <c:tickLblPos val="nextTo"/>
        <c:txPr>
          <a:bodyPr/>
          <a:lstStyle/>
          <a:p>
            <a:pPr>
              <a:defRPr>
                <a:solidFill>
                  <a:schemeClr val="bg1"/>
                </a:solidFill>
              </a:defRPr>
            </a:pPr>
            <a:endParaRPr lang="en-US"/>
          </a:p>
        </c:txPr>
        <c:crossAx val="214456960"/>
        <c:crosses val="autoZero"/>
        <c:auto val="1"/>
        <c:lblAlgn val="ctr"/>
        <c:lblOffset val="100"/>
        <c:noMultiLvlLbl val="0"/>
      </c:catAx>
      <c:valAx>
        <c:axId val="214456960"/>
        <c:scaling>
          <c:orientation val="minMax"/>
        </c:scaling>
        <c:delete val="0"/>
        <c:axPos val="l"/>
        <c:majorGridlines/>
        <c:numFmt formatCode="General" sourceLinked="1"/>
        <c:majorTickMark val="out"/>
        <c:minorTickMark val="none"/>
        <c:tickLblPos val="nextTo"/>
        <c:txPr>
          <a:bodyPr/>
          <a:lstStyle/>
          <a:p>
            <a:pPr>
              <a:defRPr>
                <a:solidFill>
                  <a:schemeClr val="bg1"/>
                </a:solidFill>
              </a:defRPr>
            </a:pPr>
            <a:endParaRPr lang="en-US"/>
          </a:p>
        </c:txPr>
        <c:crossAx val="214455424"/>
        <c:crosses val="autoZero"/>
        <c:crossBetween val="between"/>
      </c:valAx>
      <c:spPr>
        <a:noFill/>
        <a:ln>
          <a:noFill/>
        </a:ln>
      </c:spPr>
    </c:plotArea>
    <c:legend>
      <c:legendPos val="r"/>
      <c:layout>
        <c:manualLayout>
          <c:xMode val="edge"/>
          <c:yMode val="edge"/>
          <c:x val="0.7741646044244469"/>
          <c:y val="8.750352236926616E-2"/>
          <c:w val="0.22192688413948256"/>
          <c:h val="0.23320293162668726"/>
        </c:manualLayout>
      </c:layout>
      <c:overlay val="0"/>
      <c:txPr>
        <a:bodyPr/>
        <a:lstStyle/>
        <a:p>
          <a:pPr>
            <a:defRPr>
              <a:solidFill>
                <a:schemeClr val="bg1"/>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invertIfNegative val="0"/>
          <c:val>
            <c:numRef>
              <c:f>PivotTable!$N$14</c:f>
              <c:numCache>
                <c:formatCode>0%</c:formatCode>
                <c:ptCount val="1"/>
                <c:pt idx="0">
                  <c:v>0.46</c:v>
                </c:pt>
              </c:numCache>
            </c:numRef>
          </c:val>
        </c:ser>
        <c:ser>
          <c:idx val="1"/>
          <c:order val="1"/>
          <c:invertIfNegative val="0"/>
          <c:val>
            <c:numRef>
              <c:f>PivotTable!$O$14</c:f>
              <c:numCache>
                <c:formatCode>0%</c:formatCode>
                <c:ptCount val="1"/>
                <c:pt idx="0">
                  <c:v>0.54</c:v>
                </c:pt>
              </c:numCache>
            </c:numRef>
          </c:val>
        </c:ser>
        <c:dLbls>
          <c:showLegendKey val="0"/>
          <c:showVal val="0"/>
          <c:showCatName val="0"/>
          <c:showSerName val="0"/>
          <c:showPercent val="0"/>
          <c:showBubbleSize val="0"/>
        </c:dLbls>
        <c:gapWidth val="150"/>
        <c:overlap val="100"/>
        <c:axId val="214465536"/>
        <c:axId val="214483712"/>
      </c:barChart>
      <c:catAx>
        <c:axId val="214465536"/>
        <c:scaling>
          <c:orientation val="minMax"/>
        </c:scaling>
        <c:delete val="0"/>
        <c:axPos val="l"/>
        <c:majorTickMark val="out"/>
        <c:minorTickMark val="none"/>
        <c:tickLblPos val="nextTo"/>
        <c:crossAx val="214483712"/>
        <c:crosses val="autoZero"/>
        <c:auto val="1"/>
        <c:lblAlgn val="ctr"/>
        <c:lblOffset val="100"/>
        <c:noMultiLvlLbl val="0"/>
      </c:catAx>
      <c:valAx>
        <c:axId val="214483712"/>
        <c:scaling>
          <c:orientation val="minMax"/>
        </c:scaling>
        <c:delete val="0"/>
        <c:axPos val="b"/>
        <c:majorGridlines/>
        <c:numFmt formatCode="0%" sourceLinked="1"/>
        <c:majorTickMark val="out"/>
        <c:minorTickMark val="none"/>
        <c:tickLblPos val="nextTo"/>
        <c:crossAx val="21446553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invertIfNegative val="0"/>
          <c:val>
            <c:numRef>
              <c:f>PivotTable!$N$15</c:f>
              <c:numCache>
                <c:formatCode>0%</c:formatCode>
                <c:ptCount val="1"/>
                <c:pt idx="0">
                  <c:v>0.16</c:v>
                </c:pt>
              </c:numCache>
            </c:numRef>
          </c:val>
        </c:ser>
        <c:ser>
          <c:idx val="1"/>
          <c:order val="1"/>
          <c:invertIfNegative val="0"/>
          <c:val>
            <c:numRef>
              <c:f>PivotTable!$O$15</c:f>
              <c:numCache>
                <c:formatCode>0%</c:formatCode>
                <c:ptCount val="1"/>
                <c:pt idx="0">
                  <c:v>0.84</c:v>
                </c:pt>
              </c:numCache>
            </c:numRef>
          </c:val>
        </c:ser>
        <c:dLbls>
          <c:showLegendKey val="0"/>
          <c:showVal val="0"/>
          <c:showCatName val="0"/>
          <c:showSerName val="0"/>
          <c:showPercent val="0"/>
          <c:showBubbleSize val="0"/>
        </c:dLbls>
        <c:gapWidth val="150"/>
        <c:overlap val="100"/>
        <c:axId val="238625536"/>
        <c:axId val="238627072"/>
      </c:barChart>
      <c:catAx>
        <c:axId val="238625536"/>
        <c:scaling>
          <c:orientation val="minMax"/>
        </c:scaling>
        <c:delete val="0"/>
        <c:axPos val="l"/>
        <c:majorTickMark val="out"/>
        <c:minorTickMark val="none"/>
        <c:tickLblPos val="nextTo"/>
        <c:crossAx val="238627072"/>
        <c:crosses val="autoZero"/>
        <c:auto val="1"/>
        <c:lblAlgn val="ctr"/>
        <c:lblOffset val="100"/>
        <c:noMultiLvlLbl val="0"/>
      </c:catAx>
      <c:valAx>
        <c:axId val="238627072"/>
        <c:scaling>
          <c:orientation val="minMax"/>
        </c:scaling>
        <c:delete val="0"/>
        <c:axPos val="b"/>
        <c:majorGridlines/>
        <c:numFmt formatCode="0%" sourceLinked="1"/>
        <c:majorTickMark val="out"/>
        <c:minorTickMark val="none"/>
        <c:tickLblPos val="nextTo"/>
        <c:crossAx val="23862553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invertIfNegative val="0"/>
          <c:val>
            <c:numRef>
              <c:f>PivotTable!$N$16</c:f>
              <c:numCache>
                <c:formatCode>0%</c:formatCode>
                <c:ptCount val="1"/>
                <c:pt idx="0">
                  <c:v>0.38</c:v>
                </c:pt>
              </c:numCache>
            </c:numRef>
          </c:val>
        </c:ser>
        <c:ser>
          <c:idx val="1"/>
          <c:order val="1"/>
          <c:invertIfNegative val="0"/>
          <c:val>
            <c:numRef>
              <c:f>PivotTable!$O$16</c:f>
              <c:numCache>
                <c:formatCode>0%</c:formatCode>
                <c:ptCount val="1"/>
                <c:pt idx="0">
                  <c:v>0.62</c:v>
                </c:pt>
              </c:numCache>
            </c:numRef>
          </c:val>
        </c:ser>
        <c:dLbls>
          <c:showLegendKey val="0"/>
          <c:showVal val="0"/>
          <c:showCatName val="0"/>
          <c:showSerName val="0"/>
          <c:showPercent val="0"/>
          <c:showBubbleSize val="0"/>
        </c:dLbls>
        <c:gapWidth val="150"/>
        <c:overlap val="100"/>
        <c:axId val="238664320"/>
        <c:axId val="238666112"/>
      </c:barChart>
      <c:catAx>
        <c:axId val="238664320"/>
        <c:scaling>
          <c:orientation val="minMax"/>
        </c:scaling>
        <c:delete val="0"/>
        <c:axPos val="l"/>
        <c:majorTickMark val="out"/>
        <c:minorTickMark val="none"/>
        <c:tickLblPos val="nextTo"/>
        <c:crossAx val="238666112"/>
        <c:crosses val="autoZero"/>
        <c:auto val="1"/>
        <c:lblAlgn val="ctr"/>
        <c:lblOffset val="100"/>
        <c:noMultiLvlLbl val="0"/>
      </c:catAx>
      <c:valAx>
        <c:axId val="238666112"/>
        <c:scaling>
          <c:orientation val="minMax"/>
        </c:scaling>
        <c:delete val="0"/>
        <c:axPos val="b"/>
        <c:majorGridlines/>
        <c:numFmt formatCode="0%" sourceLinked="1"/>
        <c:majorTickMark val="out"/>
        <c:minorTickMark val="none"/>
        <c:tickLblPos val="nextTo"/>
        <c:crossAx val="238664320"/>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val>
            <c:numRef>
              <c:f>PivotTable!$K$20:$L$20</c:f>
              <c:numCache>
                <c:formatCode>0%</c:formatCode>
                <c:ptCount val="2"/>
                <c:pt idx="0">
                  <c:v>0.48</c:v>
                </c:pt>
                <c:pt idx="1">
                  <c:v>0.52</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spPr>
    <a:no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val>
            <c:numRef>
              <c:f>PivotTable!$K$21:$L$21</c:f>
              <c:numCache>
                <c:formatCode>0%</c:formatCode>
                <c:ptCount val="2"/>
                <c:pt idx="0">
                  <c:v>0.52</c:v>
                </c:pt>
                <c:pt idx="1">
                  <c:v>0.48</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strRef>
              <c:f>PivotTable!$E$11:$E$15</c:f>
              <c:strCache>
                <c:ptCount val="5"/>
                <c:pt idx="0">
                  <c:v>Analyst</c:v>
                </c:pt>
                <c:pt idx="1">
                  <c:v>Designer</c:v>
                </c:pt>
                <c:pt idx="2">
                  <c:v>Developer</c:v>
                </c:pt>
                <c:pt idx="3">
                  <c:v>HR Specialist</c:v>
                </c:pt>
                <c:pt idx="4">
                  <c:v>Manager</c:v>
                </c:pt>
              </c:strCache>
            </c:strRef>
          </c:cat>
          <c:val>
            <c:numRef>
              <c:f>PivotTable!$G$11:$G$15</c:f>
              <c:numCache>
                <c:formatCode>General</c:formatCode>
                <c:ptCount val="5"/>
                <c:pt idx="0">
                  <c:v>28</c:v>
                </c:pt>
                <c:pt idx="1">
                  <c:v>110</c:v>
                </c:pt>
                <c:pt idx="2">
                  <c:v>104</c:v>
                </c:pt>
                <c:pt idx="3">
                  <c:v>123</c:v>
                </c:pt>
                <c:pt idx="4">
                  <c:v>122</c:v>
                </c:pt>
              </c:numCache>
            </c:numRef>
          </c:val>
        </c:ser>
        <c:dLbls>
          <c:showLegendKey val="0"/>
          <c:showVal val="0"/>
          <c:showCatName val="0"/>
          <c:showSerName val="0"/>
          <c:showPercent val="0"/>
          <c:showBubbleSize val="0"/>
        </c:dLbls>
        <c:gapWidth val="150"/>
        <c:axId val="238421888"/>
        <c:axId val="238423424"/>
      </c:barChart>
      <c:catAx>
        <c:axId val="238421888"/>
        <c:scaling>
          <c:orientation val="minMax"/>
        </c:scaling>
        <c:delete val="0"/>
        <c:axPos val="b"/>
        <c:majorTickMark val="out"/>
        <c:minorTickMark val="none"/>
        <c:tickLblPos val="nextTo"/>
        <c:txPr>
          <a:bodyPr/>
          <a:lstStyle/>
          <a:p>
            <a:pPr>
              <a:defRPr>
                <a:solidFill>
                  <a:schemeClr val="bg1"/>
                </a:solidFill>
              </a:defRPr>
            </a:pPr>
            <a:endParaRPr lang="en-US"/>
          </a:p>
        </c:txPr>
        <c:crossAx val="238423424"/>
        <c:crosses val="autoZero"/>
        <c:auto val="1"/>
        <c:lblAlgn val="ctr"/>
        <c:lblOffset val="100"/>
        <c:noMultiLvlLbl val="0"/>
      </c:catAx>
      <c:valAx>
        <c:axId val="238423424"/>
        <c:scaling>
          <c:orientation val="minMax"/>
        </c:scaling>
        <c:delete val="0"/>
        <c:axPos val="l"/>
        <c:majorGridlines/>
        <c:numFmt formatCode="General" sourceLinked="1"/>
        <c:majorTickMark val="out"/>
        <c:minorTickMark val="none"/>
        <c:tickLblPos val="nextTo"/>
        <c:txPr>
          <a:bodyPr/>
          <a:lstStyle/>
          <a:p>
            <a:pPr>
              <a:defRPr>
                <a:solidFill>
                  <a:schemeClr val="bg1"/>
                </a:solidFill>
              </a:defRPr>
            </a:pPr>
            <a:endParaRPr lang="en-US"/>
          </a:p>
        </c:txPr>
        <c:crossAx val="238421888"/>
        <c:crosses val="autoZero"/>
        <c:crossBetween val="between"/>
      </c:valAx>
      <c:spPr>
        <a:noFill/>
        <a:ln>
          <a:noFill/>
        </a:ln>
      </c:spPr>
    </c:plotArea>
    <c:plotVisOnly val="1"/>
    <c:dispBlanksAs val="gap"/>
    <c:showDLblsOverMax val="0"/>
  </c:chart>
  <c:spPr>
    <a:no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invertIfNegative val="0"/>
          <c:cat>
            <c:strRef>
              <c:f>PivotTable!$T$11:$T$15</c:f>
              <c:strCache>
                <c:ptCount val="5"/>
                <c:pt idx="0">
                  <c:v>Central</c:v>
                </c:pt>
                <c:pt idx="1">
                  <c:v>East</c:v>
                </c:pt>
                <c:pt idx="2">
                  <c:v>North</c:v>
                </c:pt>
                <c:pt idx="3">
                  <c:v>South</c:v>
                </c:pt>
                <c:pt idx="4">
                  <c:v>West</c:v>
                </c:pt>
              </c:strCache>
            </c:strRef>
          </c:cat>
          <c:val>
            <c:numRef>
              <c:f>PivotTable!$U$11:$U$15</c:f>
              <c:numCache>
                <c:formatCode>General</c:formatCode>
                <c:ptCount val="5"/>
                <c:pt idx="0">
                  <c:v>14</c:v>
                </c:pt>
                <c:pt idx="1">
                  <c:v>10</c:v>
                </c:pt>
                <c:pt idx="2">
                  <c:v>7</c:v>
                </c:pt>
                <c:pt idx="3">
                  <c:v>10</c:v>
                </c:pt>
                <c:pt idx="4">
                  <c:v>9</c:v>
                </c:pt>
              </c:numCache>
            </c:numRef>
          </c:val>
        </c:ser>
        <c:dLbls>
          <c:showLegendKey val="0"/>
          <c:showVal val="0"/>
          <c:showCatName val="0"/>
          <c:showSerName val="0"/>
          <c:showPercent val="0"/>
          <c:showBubbleSize val="0"/>
        </c:dLbls>
        <c:gapWidth val="55"/>
        <c:overlap val="100"/>
        <c:axId val="238434560"/>
        <c:axId val="238448640"/>
      </c:barChart>
      <c:catAx>
        <c:axId val="238434560"/>
        <c:scaling>
          <c:orientation val="minMax"/>
        </c:scaling>
        <c:delete val="0"/>
        <c:axPos val="l"/>
        <c:majorTickMark val="none"/>
        <c:minorTickMark val="none"/>
        <c:tickLblPos val="nextTo"/>
        <c:txPr>
          <a:bodyPr/>
          <a:lstStyle/>
          <a:p>
            <a:pPr>
              <a:defRPr>
                <a:solidFill>
                  <a:schemeClr val="bg1"/>
                </a:solidFill>
              </a:defRPr>
            </a:pPr>
            <a:endParaRPr lang="en-US"/>
          </a:p>
        </c:txPr>
        <c:crossAx val="238448640"/>
        <c:crosses val="autoZero"/>
        <c:auto val="1"/>
        <c:lblAlgn val="ctr"/>
        <c:lblOffset val="100"/>
        <c:noMultiLvlLbl val="0"/>
      </c:catAx>
      <c:valAx>
        <c:axId val="238448640"/>
        <c:scaling>
          <c:orientation val="minMax"/>
        </c:scaling>
        <c:delete val="0"/>
        <c:axPos val="b"/>
        <c:majorGridlines/>
        <c:numFmt formatCode="General" sourceLinked="1"/>
        <c:majorTickMark val="none"/>
        <c:minorTickMark val="none"/>
        <c:tickLblPos val="nextTo"/>
        <c:txPr>
          <a:bodyPr/>
          <a:lstStyle/>
          <a:p>
            <a:pPr>
              <a:defRPr>
                <a:solidFill>
                  <a:schemeClr val="bg1"/>
                </a:solidFill>
              </a:defRPr>
            </a:pPr>
            <a:endParaRPr lang="en-US"/>
          </a:p>
        </c:txPr>
        <c:crossAx val="238434560"/>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143933</xdr:rowOff>
    </xdr:from>
    <xdr:to>
      <xdr:col>20</xdr:col>
      <xdr:colOff>296333</xdr:colOff>
      <xdr:row>36</xdr:row>
      <xdr:rowOff>50800</xdr:rowOff>
    </xdr:to>
    <xdr:sp macro="" textlink="">
      <xdr:nvSpPr>
        <xdr:cNvPr id="2" name="Rectangle 1"/>
        <xdr:cNvSpPr/>
      </xdr:nvSpPr>
      <xdr:spPr>
        <a:xfrm>
          <a:off x="127000" y="143933"/>
          <a:ext cx="12361333" cy="661246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247227</xdr:colOff>
      <xdr:row>5</xdr:row>
      <xdr:rowOff>145415</xdr:rowOff>
    </xdr:from>
    <xdr:to>
      <xdr:col>4</xdr:col>
      <xdr:colOff>602652</xdr:colOff>
      <xdr:row>17</xdr:row>
      <xdr:rowOff>101600</xdr:rowOff>
    </xdr:to>
    <xdr:sp macro="" textlink="">
      <xdr:nvSpPr>
        <xdr:cNvPr id="3" name="Rectangle 2"/>
        <xdr:cNvSpPr/>
      </xdr:nvSpPr>
      <xdr:spPr>
        <a:xfrm>
          <a:off x="247227" y="1076748"/>
          <a:ext cx="2793825" cy="2191385"/>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183514</xdr:colOff>
      <xdr:row>17</xdr:row>
      <xdr:rowOff>177800</xdr:rowOff>
    </xdr:from>
    <xdr:to>
      <xdr:col>5</xdr:col>
      <xdr:colOff>40640</xdr:colOff>
      <xdr:row>35</xdr:row>
      <xdr:rowOff>8467</xdr:rowOff>
    </xdr:to>
    <xdr:sp macro="" textlink="">
      <xdr:nvSpPr>
        <xdr:cNvPr id="4" name="Rectangle 3"/>
        <xdr:cNvSpPr/>
      </xdr:nvSpPr>
      <xdr:spPr>
        <a:xfrm>
          <a:off x="183514" y="3344333"/>
          <a:ext cx="2905126" cy="3183467"/>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110067</xdr:colOff>
      <xdr:row>21</xdr:row>
      <xdr:rowOff>50800</xdr:rowOff>
    </xdr:from>
    <xdr:to>
      <xdr:col>10</xdr:col>
      <xdr:colOff>186267</xdr:colOff>
      <xdr:row>35</xdr:row>
      <xdr:rowOff>56964</xdr:rowOff>
    </xdr:to>
    <xdr:sp macro="" textlink="">
      <xdr:nvSpPr>
        <xdr:cNvPr id="6" name="Rectangle 5"/>
        <xdr:cNvSpPr/>
      </xdr:nvSpPr>
      <xdr:spPr>
        <a:xfrm>
          <a:off x="3158067" y="3962400"/>
          <a:ext cx="3124200" cy="2613897"/>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259080</xdr:colOff>
      <xdr:row>21</xdr:row>
      <xdr:rowOff>33867</xdr:rowOff>
    </xdr:from>
    <xdr:to>
      <xdr:col>14</xdr:col>
      <xdr:colOff>355675</xdr:colOff>
      <xdr:row>35</xdr:row>
      <xdr:rowOff>34367</xdr:rowOff>
    </xdr:to>
    <xdr:sp macro="" textlink="">
      <xdr:nvSpPr>
        <xdr:cNvPr id="8" name="Rectangle 7"/>
        <xdr:cNvSpPr/>
      </xdr:nvSpPr>
      <xdr:spPr>
        <a:xfrm>
          <a:off x="6355080" y="3945467"/>
          <a:ext cx="2534995" cy="2608233"/>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527261</xdr:colOff>
      <xdr:row>7</xdr:row>
      <xdr:rowOff>111124</xdr:rowOff>
    </xdr:from>
    <xdr:to>
      <xdr:col>14</xdr:col>
      <xdr:colOff>536861</xdr:colOff>
      <xdr:row>20</xdr:row>
      <xdr:rowOff>75590</xdr:rowOff>
    </xdr:to>
    <xdr:sp macro="" textlink="">
      <xdr:nvSpPr>
        <xdr:cNvPr id="10" name="Rectangle 9"/>
        <xdr:cNvSpPr/>
      </xdr:nvSpPr>
      <xdr:spPr>
        <a:xfrm>
          <a:off x="6623261" y="1414991"/>
          <a:ext cx="2448000" cy="2385932"/>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579845</xdr:colOff>
      <xdr:row>7</xdr:row>
      <xdr:rowOff>56545</xdr:rowOff>
    </xdr:from>
    <xdr:to>
      <xdr:col>10</xdr:col>
      <xdr:colOff>395135</xdr:colOff>
      <xdr:row>14</xdr:row>
      <xdr:rowOff>7016</xdr:rowOff>
    </xdr:to>
    <xdr:sp macro="" textlink="">
      <xdr:nvSpPr>
        <xdr:cNvPr id="14" name="Rectangle 13"/>
        <xdr:cNvSpPr/>
      </xdr:nvSpPr>
      <xdr:spPr>
        <a:xfrm>
          <a:off x="3627845" y="1360412"/>
          <a:ext cx="2863290" cy="1254337"/>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80433</xdr:colOff>
      <xdr:row>14</xdr:row>
      <xdr:rowOff>155999</xdr:rowOff>
    </xdr:from>
    <xdr:to>
      <xdr:col>8</xdr:col>
      <xdr:colOff>31233</xdr:colOff>
      <xdr:row>20</xdr:row>
      <xdr:rowOff>150149</xdr:rowOff>
    </xdr:to>
    <xdr:sp macro="" textlink="">
      <xdr:nvSpPr>
        <xdr:cNvPr id="15" name="Rectangle 14"/>
        <xdr:cNvSpPr/>
      </xdr:nvSpPr>
      <xdr:spPr>
        <a:xfrm>
          <a:off x="3738033" y="2763732"/>
          <a:ext cx="1170000" cy="111175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419947</xdr:colOff>
      <xdr:row>14</xdr:row>
      <xdr:rowOff>139912</xdr:rowOff>
    </xdr:from>
    <xdr:to>
      <xdr:col>10</xdr:col>
      <xdr:colOff>370747</xdr:colOff>
      <xdr:row>20</xdr:row>
      <xdr:rowOff>134062</xdr:rowOff>
    </xdr:to>
    <xdr:sp macro="" textlink="">
      <xdr:nvSpPr>
        <xdr:cNvPr id="16" name="Rectangle 15"/>
        <xdr:cNvSpPr/>
      </xdr:nvSpPr>
      <xdr:spPr>
        <a:xfrm>
          <a:off x="5296747" y="2747645"/>
          <a:ext cx="1170000" cy="111175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8679</xdr:colOff>
      <xdr:row>28</xdr:row>
      <xdr:rowOff>71228</xdr:rowOff>
    </xdr:from>
    <xdr:to>
      <xdr:col>17</xdr:col>
      <xdr:colOff>169943</xdr:colOff>
      <xdr:row>35</xdr:row>
      <xdr:rowOff>45079</xdr:rowOff>
    </xdr:to>
    <xdr:sp macro="" textlink="">
      <xdr:nvSpPr>
        <xdr:cNvPr id="17" name="Rectangle 16"/>
        <xdr:cNvSpPr/>
      </xdr:nvSpPr>
      <xdr:spPr>
        <a:xfrm>
          <a:off x="9152679" y="5286695"/>
          <a:ext cx="1380464" cy="1277717"/>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305673</xdr:colOff>
      <xdr:row>28</xdr:row>
      <xdr:rowOff>110393</xdr:rowOff>
    </xdr:from>
    <xdr:to>
      <xdr:col>19</xdr:col>
      <xdr:colOff>466937</xdr:colOff>
      <xdr:row>35</xdr:row>
      <xdr:rowOff>84244</xdr:rowOff>
    </xdr:to>
    <xdr:sp macro="" textlink="">
      <xdr:nvSpPr>
        <xdr:cNvPr id="21" name="Rectangle 20"/>
        <xdr:cNvSpPr/>
      </xdr:nvSpPr>
      <xdr:spPr>
        <a:xfrm>
          <a:off x="10668873" y="5325860"/>
          <a:ext cx="1380464" cy="1277717"/>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252959</xdr:colOff>
      <xdr:row>21</xdr:row>
      <xdr:rowOff>48260</xdr:rowOff>
    </xdr:from>
    <xdr:to>
      <xdr:col>19</xdr:col>
      <xdr:colOff>414223</xdr:colOff>
      <xdr:row>28</xdr:row>
      <xdr:rowOff>22109</xdr:rowOff>
    </xdr:to>
    <xdr:sp macro="" textlink="">
      <xdr:nvSpPr>
        <xdr:cNvPr id="25" name="Rectangle 24"/>
        <xdr:cNvSpPr/>
      </xdr:nvSpPr>
      <xdr:spPr>
        <a:xfrm>
          <a:off x="10616159" y="3959860"/>
          <a:ext cx="1380464" cy="1277716"/>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443442</xdr:colOff>
      <xdr:row>9</xdr:row>
      <xdr:rowOff>33867</xdr:rowOff>
    </xdr:from>
    <xdr:to>
      <xdr:col>19</xdr:col>
      <xdr:colOff>546642</xdr:colOff>
      <xdr:row>20</xdr:row>
      <xdr:rowOff>98134</xdr:rowOff>
    </xdr:to>
    <xdr:sp macro="" textlink="">
      <xdr:nvSpPr>
        <xdr:cNvPr id="27" name="Rectangle 26"/>
        <xdr:cNvSpPr/>
      </xdr:nvSpPr>
      <xdr:spPr>
        <a:xfrm>
          <a:off x="9587442" y="1710267"/>
          <a:ext cx="2541600" cy="211320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532553</xdr:colOff>
      <xdr:row>1</xdr:row>
      <xdr:rowOff>112184</xdr:rowOff>
    </xdr:from>
    <xdr:to>
      <xdr:col>20</xdr:col>
      <xdr:colOff>26153</xdr:colOff>
      <xdr:row>8</xdr:row>
      <xdr:rowOff>84668</xdr:rowOff>
    </xdr:to>
    <xdr:sp macro="" textlink="">
      <xdr:nvSpPr>
        <xdr:cNvPr id="28" name="Rectangle 27"/>
        <xdr:cNvSpPr/>
      </xdr:nvSpPr>
      <xdr:spPr>
        <a:xfrm>
          <a:off x="9676553" y="298451"/>
          <a:ext cx="2541600" cy="127635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298026</xdr:colOff>
      <xdr:row>21</xdr:row>
      <xdr:rowOff>104987</xdr:rowOff>
    </xdr:from>
    <xdr:ext cx="1016001" cy="505267"/>
    <xdr:sp macro="" textlink="">
      <xdr:nvSpPr>
        <xdr:cNvPr id="29" name="TextBox 28"/>
        <xdr:cNvSpPr txBox="1"/>
      </xdr:nvSpPr>
      <xdr:spPr>
        <a:xfrm>
          <a:off x="10661226" y="4016587"/>
          <a:ext cx="1016001" cy="505267"/>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i="0" u="none" strike="noStrike">
              <a:solidFill>
                <a:schemeClr val="bg1"/>
              </a:solidFill>
              <a:effectLst/>
              <a:latin typeface="Times New Roman" pitchFamily="18" charset="0"/>
              <a:ea typeface="+mn-ea"/>
              <a:cs typeface="Times New Roman" pitchFamily="18" charset="0"/>
            </a:rPr>
            <a:t>Part</a:t>
          </a:r>
          <a:r>
            <a:rPr lang="en-IN" sz="1400" b="0" i="0" u="none" strike="noStrike" baseline="0">
              <a:solidFill>
                <a:schemeClr val="bg1"/>
              </a:solidFill>
              <a:effectLst/>
              <a:latin typeface="Times New Roman" pitchFamily="18" charset="0"/>
              <a:ea typeface="+mn-ea"/>
              <a:cs typeface="Times New Roman" pitchFamily="18" charset="0"/>
            </a:rPr>
            <a:t> </a:t>
          </a:r>
          <a:r>
            <a:rPr lang="en-IN" sz="1400" b="0" i="0" u="none" strike="noStrike">
              <a:solidFill>
                <a:schemeClr val="bg1"/>
              </a:solidFill>
              <a:effectLst/>
              <a:latin typeface="Times New Roman" pitchFamily="18" charset="0"/>
              <a:ea typeface="+mn-ea"/>
              <a:cs typeface="Times New Roman" pitchFamily="18" charset="0"/>
            </a:rPr>
            <a:t>Time</a:t>
          </a:r>
          <a:r>
            <a:rPr lang="en-IN" sz="1400">
              <a:solidFill>
                <a:schemeClr val="bg1"/>
              </a:solidFill>
              <a:latin typeface="Times New Roman" pitchFamily="18" charset="0"/>
              <a:cs typeface="Times New Roman" pitchFamily="18" charset="0"/>
            </a:rPr>
            <a:t>  Employees</a:t>
          </a:r>
        </a:p>
      </xdr:txBody>
    </xdr:sp>
    <xdr:clientData/>
  </xdr:oneCellAnchor>
  <xdr:oneCellAnchor>
    <xdr:from>
      <xdr:col>17</xdr:col>
      <xdr:colOff>477519</xdr:colOff>
      <xdr:row>25</xdr:row>
      <xdr:rowOff>38946</xdr:rowOff>
    </xdr:from>
    <xdr:ext cx="1016001" cy="357790"/>
    <xdr:sp macro="" textlink="PivotTable!C11">
      <xdr:nvSpPr>
        <xdr:cNvPr id="30" name="TextBox 29"/>
        <xdr:cNvSpPr txBox="1"/>
      </xdr:nvSpPr>
      <xdr:spPr>
        <a:xfrm>
          <a:off x="10840719" y="4695613"/>
          <a:ext cx="1016001" cy="357790"/>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1D9912E-EB1D-45DD-8C74-130EEC262A84}" type="TxLink">
            <a:rPr lang="en-IN" sz="1800">
              <a:solidFill>
                <a:schemeClr val="bg1"/>
              </a:solidFill>
              <a:latin typeface="Times New Roman" pitchFamily="18" charset="0"/>
              <a:cs typeface="Times New Roman" pitchFamily="18" charset="0"/>
            </a:rPr>
            <a:pPr/>
            <a:t>13</a:t>
          </a:fld>
          <a:endParaRPr lang="en-IN" sz="1800">
            <a:solidFill>
              <a:schemeClr val="bg1"/>
            </a:solidFill>
            <a:latin typeface="Times New Roman" pitchFamily="18" charset="0"/>
            <a:cs typeface="Times New Roman" pitchFamily="18" charset="0"/>
          </a:endParaRPr>
        </a:p>
      </xdr:txBody>
    </xdr:sp>
    <xdr:clientData/>
  </xdr:oneCellAnchor>
  <xdr:oneCellAnchor>
    <xdr:from>
      <xdr:col>17</xdr:col>
      <xdr:colOff>427592</xdr:colOff>
      <xdr:row>29</xdr:row>
      <xdr:rowOff>8158</xdr:rowOff>
    </xdr:from>
    <xdr:ext cx="1016001" cy="505267"/>
    <xdr:sp macro="" textlink="">
      <xdr:nvSpPr>
        <xdr:cNvPr id="33" name="TextBox 32"/>
        <xdr:cNvSpPr txBox="1"/>
      </xdr:nvSpPr>
      <xdr:spPr>
        <a:xfrm>
          <a:off x="10790792" y="5409891"/>
          <a:ext cx="1016001" cy="505267"/>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i="0" u="none" strike="noStrike">
              <a:solidFill>
                <a:schemeClr val="bg1"/>
              </a:solidFill>
              <a:effectLst/>
              <a:latin typeface="Times New Roman" pitchFamily="18" charset="0"/>
              <a:ea typeface="+mn-ea"/>
              <a:cs typeface="Times New Roman" pitchFamily="18" charset="0"/>
            </a:rPr>
            <a:t>Full Time</a:t>
          </a:r>
          <a:r>
            <a:rPr lang="en-IN" sz="1400">
              <a:solidFill>
                <a:schemeClr val="bg1"/>
              </a:solidFill>
              <a:latin typeface="Times New Roman" pitchFamily="18" charset="0"/>
              <a:cs typeface="Times New Roman" pitchFamily="18" charset="0"/>
            </a:rPr>
            <a:t>  Employees</a:t>
          </a:r>
        </a:p>
      </xdr:txBody>
    </xdr:sp>
    <xdr:clientData/>
  </xdr:oneCellAnchor>
  <xdr:oneCellAnchor>
    <xdr:from>
      <xdr:col>17</xdr:col>
      <xdr:colOff>490246</xdr:colOff>
      <xdr:row>32</xdr:row>
      <xdr:rowOff>155478</xdr:rowOff>
    </xdr:from>
    <xdr:ext cx="1016001" cy="357790"/>
    <xdr:sp macro="" textlink="PivotTable!C10">
      <xdr:nvSpPr>
        <xdr:cNvPr id="34" name="TextBox 33"/>
        <xdr:cNvSpPr txBox="1"/>
      </xdr:nvSpPr>
      <xdr:spPr>
        <a:xfrm>
          <a:off x="10853446" y="6116011"/>
          <a:ext cx="1016001" cy="357790"/>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7CE7E75-0EC6-49CD-8D1F-552D23A97104}" type="TxLink">
            <a:rPr lang="en-IN" sz="1800">
              <a:solidFill>
                <a:schemeClr val="bg1"/>
              </a:solidFill>
              <a:latin typeface="Times New Roman" pitchFamily="18" charset="0"/>
              <a:cs typeface="Times New Roman" pitchFamily="18" charset="0"/>
            </a:rPr>
            <a:pPr/>
            <a:t>20</a:t>
          </a:fld>
          <a:endParaRPr lang="en-IN" sz="1800">
            <a:solidFill>
              <a:schemeClr val="bg1"/>
            </a:solidFill>
            <a:latin typeface="Times New Roman" pitchFamily="18" charset="0"/>
            <a:cs typeface="Times New Roman" pitchFamily="18" charset="0"/>
          </a:endParaRPr>
        </a:p>
      </xdr:txBody>
    </xdr:sp>
    <xdr:clientData/>
  </xdr:oneCellAnchor>
  <xdr:oneCellAnchor>
    <xdr:from>
      <xdr:col>15</xdr:col>
      <xdr:colOff>86572</xdr:colOff>
      <xdr:row>28</xdr:row>
      <xdr:rowOff>177273</xdr:rowOff>
    </xdr:from>
    <xdr:ext cx="1016001" cy="505267"/>
    <xdr:sp macro="" textlink="">
      <xdr:nvSpPr>
        <xdr:cNvPr id="35" name="TextBox 34"/>
        <xdr:cNvSpPr txBox="1"/>
      </xdr:nvSpPr>
      <xdr:spPr>
        <a:xfrm>
          <a:off x="9230572" y="5392740"/>
          <a:ext cx="1016001" cy="505267"/>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i="0" u="none" strike="noStrike">
              <a:solidFill>
                <a:schemeClr val="bg1"/>
              </a:solidFill>
              <a:effectLst/>
              <a:latin typeface="Times New Roman" pitchFamily="18" charset="0"/>
              <a:ea typeface="+mn-ea"/>
              <a:cs typeface="Times New Roman" pitchFamily="18" charset="0"/>
            </a:rPr>
            <a:t>Contractual</a:t>
          </a:r>
          <a:r>
            <a:rPr lang="en-IN" sz="1400">
              <a:solidFill>
                <a:schemeClr val="bg1"/>
              </a:solidFill>
              <a:latin typeface="Times New Roman" pitchFamily="18" charset="0"/>
              <a:cs typeface="Times New Roman" pitchFamily="18" charset="0"/>
            </a:rPr>
            <a:t>  Employees</a:t>
          </a:r>
        </a:p>
      </xdr:txBody>
    </xdr:sp>
    <xdr:clientData/>
  </xdr:oneCellAnchor>
  <xdr:oneCellAnchor>
    <xdr:from>
      <xdr:col>15</xdr:col>
      <xdr:colOff>167852</xdr:colOff>
      <xdr:row>32</xdr:row>
      <xdr:rowOff>126475</xdr:rowOff>
    </xdr:from>
    <xdr:ext cx="1016001" cy="357790"/>
    <xdr:sp macro="" textlink="PivotTable!C9">
      <xdr:nvSpPr>
        <xdr:cNvPr id="36" name="TextBox 35"/>
        <xdr:cNvSpPr txBox="1"/>
      </xdr:nvSpPr>
      <xdr:spPr>
        <a:xfrm>
          <a:off x="9311852" y="6087008"/>
          <a:ext cx="1016001" cy="357790"/>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444198D-B5CE-4980-ADF1-928FD4754687}" type="TxLink">
            <a:rPr lang="en-IN" sz="1800">
              <a:solidFill>
                <a:schemeClr val="bg1"/>
              </a:solidFill>
              <a:latin typeface="Times New Roman" pitchFamily="18" charset="0"/>
              <a:cs typeface="Times New Roman" pitchFamily="18" charset="0"/>
            </a:rPr>
            <a:pPr/>
            <a:t>17</a:t>
          </a:fld>
          <a:endParaRPr lang="en-IN" sz="1800">
            <a:solidFill>
              <a:schemeClr val="bg1"/>
            </a:solidFill>
            <a:latin typeface="Times New Roman" pitchFamily="18" charset="0"/>
            <a:cs typeface="Times New Roman" pitchFamily="18" charset="0"/>
          </a:endParaRPr>
        </a:p>
      </xdr:txBody>
    </xdr:sp>
    <xdr:clientData/>
  </xdr:oneCellAnchor>
  <xdr:oneCellAnchor>
    <xdr:from>
      <xdr:col>18</xdr:col>
      <xdr:colOff>118533</xdr:colOff>
      <xdr:row>12</xdr:row>
      <xdr:rowOff>0</xdr:rowOff>
    </xdr:from>
    <xdr:ext cx="184731" cy="264560"/>
    <xdr:sp macro="" textlink="">
      <xdr:nvSpPr>
        <xdr:cNvPr id="37" name="TextBox 36"/>
        <xdr:cNvSpPr txBox="1"/>
      </xdr:nvSpPr>
      <xdr:spPr>
        <a:xfrm>
          <a:off x="11091333" y="2235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10</xdr:col>
      <xdr:colOff>308188</xdr:colOff>
      <xdr:row>24</xdr:row>
      <xdr:rowOff>99907</xdr:rowOff>
    </xdr:from>
    <xdr:ext cx="946156" cy="264560"/>
    <xdr:sp macro="" textlink="">
      <xdr:nvSpPr>
        <xdr:cNvPr id="38" name="TextBox 37"/>
        <xdr:cNvSpPr txBox="1"/>
      </xdr:nvSpPr>
      <xdr:spPr>
        <a:xfrm>
          <a:off x="6404188" y="4570307"/>
          <a:ext cx="9461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Total Salaries</a:t>
          </a:r>
        </a:p>
      </xdr:txBody>
    </xdr:sp>
    <xdr:clientData/>
  </xdr:oneCellAnchor>
  <xdr:oneCellAnchor>
    <xdr:from>
      <xdr:col>10</xdr:col>
      <xdr:colOff>367454</xdr:colOff>
      <xdr:row>26</xdr:row>
      <xdr:rowOff>47414</xdr:rowOff>
    </xdr:from>
    <xdr:ext cx="638508" cy="264560"/>
    <xdr:sp macro="" textlink="">
      <xdr:nvSpPr>
        <xdr:cNvPr id="39" name="TextBox 38"/>
        <xdr:cNvSpPr txBox="1"/>
      </xdr:nvSpPr>
      <xdr:spPr>
        <a:xfrm>
          <a:off x="6463454" y="4890347"/>
          <a:ext cx="6385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bg1"/>
              </a:solidFill>
              <a:effectLst/>
              <a:latin typeface="+mn-lt"/>
              <a:ea typeface="+mn-ea"/>
              <a:cs typeface="+mn-cs"/>
            </a:rPr>
            <a:t>Analyst</a:t>
          </a:r>
          <a:r>
            <a:rPr lang="en-IN">
              <a:solidFill>
                <a:schemeClr val="bg1"/>
              </a:solidFill>
            </a:rPr>
            <a:t> </a:t>
          </a:r>
          <a:endParaRPr lang="en-IN" sz="1100">
            <a:solidFill>
              <a:schemeClr val="bg1"/>
            </a:solidFill>
          </a:endParaRPr>
        </a:p>
      </xdr:txBody>
    </xdr:sp>
    <xdr:clientData/>
  </xdr:oneCellAnchor>
  <xdr:oneCellAnchor>
    <xdr:from>
      <xdr:col>10</xdr:col>
      <xdr:colOff>342054</xdr:colOff>
      <xdr:row>27</xdr:row>
      <xdr:rowOff>137160</xdr:rowOff>
    </xdr:from>
    <xdr:ext cx="721031" cy="264560"/>
    <xdr:sp macro="" textlink="">
      <xdr:nvSpPr>
        <xdr:cNvPr id="40" name="TextBox 39"/>
        <xdr:cNvSpPr txBox="1"/>
      </xdr:nvSpPr>
      <xdr:spPr>
        <a:xfrm>
          <a:off x="6438054" y="5166360"/>
          <a:ext cx="7210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bg1"/>
              </a:solidFill>
              <a:effectLst/>
              <a:latin typeface="+mn-lt"/>
              <a:ea typeface="+mn-ea"/>
              <a:cs typeface="+mn-cs"/>
            </a:rPr>
            <a:t>Designer</a:t>
          </a:r>
          <a:r>
            <a:rPr lang="en-IN">
              <a:solidFill>
                <a:schemeClr val="bg1"/>
              </a:solidFill>
            </a:rPr>
            <a:t> </a:t>
          </a:r>
          <a:endParaRPr lang="en-IN" sz="1100">
            <a:solidFill>
              <a:schemeClr val="bg1"/>
            </a:solidFill>
          </a:endParaRPr>
        </a:p>
      </xdr:txBody>
    </xdr:sp>
    <xdr:clientData/>
  </xdr:oneCellAnchor>
  <xdr:oneCellAnchor>
    <xdr:from>
      <xdr:col>10</xdr:col>
      <xdr:colOff>325121</xdr:colOff>
      <xdr:row>29</xdr:row>
      <xdr:rowOff>6774</xdr:rowOff>
    </xdr:from>
    <xdr:ext cx="807785" cy="264560"/>
    <xdr:sp macro="" textlink="">
      <xdr:nvSpPr>
        <xdr:cNvPr id="41" name="TextBox 40"/>
        <xdr:cNvSpPr txBox="1"/>
      </xdr:nvSpPr>
      <xdr:spPr>
        <a:xfrm>
          <a:off x="6421121" y="5408507"/>
          <a:ext cx="8077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bg1"/>
              </a:solidFill>
              <a:effectLst/>
              <a:latin typeface="+mn-lt"/>
              <a:ea typeface="+mn-ea"/>
              <a:cs typeface="+mn-cs"/>
            </a:rPr>
            <a:t>Developer</a:t>
          </a:r>
          <a:r>
            <a:rPr lang="en-IN">
              <a:solidFill>
                <a:schemeClr val="bg1"/>
              </a:solidFill>
            </a:rPr>
            <a:t> </a:t>
          </a:r>
          <a:endParaRPr lang="en-IN" sz="1100">
            <a:solidFill>
              <a:schemeClr val="bg1"/>
            </a:solidFill>
          </a:endParaRPr>
        </a:p>
      </xdr:txBody>
    </xdr:sp>
    <xdr:clientData/>
  </xdr:oneCellAnchor>
  <xdr:oneCellAnchor>
    <xdr:from>
      <xdr:col>10</xdr:col>
      <xdr:colOff>325121</xdr:colOff>
      <xdr:row>30</xdr:row>
      <xdr:rowOff>79586</xdr:rowOff>
    </xdr:from>
    <xdr:ext cx="946156" cy="264560"/>
    <xdr:sp macro="" textlink="">
      <xdr:nvSpPr>
        <xdr:cNvPr id="42" name="TextBox 41"/>
        <xdr:cNvSpPr txBox="1"/>
      </xdr:nvSpPr>
      <xdr:spPr>
        <a:xfrm>
          <a:off x="6421121" y="5667586"/>
          <a:ext cx="9461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bg1"/>
              </a:solidFill>
              <a:effectLst/>
              <a:latin typeface="+mn-lt"/>
              <a:ea typeface="+mn-ea"/>
              <a:cs typeface="+mn-cs"/>
            </a:rPr>
            <a:t>HR Specialist</a:t>
          </a:r>
          <a:r>
            <a:rPr lang="en-IN">
              <a:solidFill>
                <a:schemeClr val="bg1"/>
              </a:solidFill>
            </a:rPr>
            <a:t> </a:t>
          </a:r>
          <a:endParaRPr lang="en-IN" sz="1100">
            <a:solidFill>
              <a:schemeClr val="bg1"/>
            </a:solidFill>
          </a:endParaRPr>
        </a:p>
      </xdr:txBody>
    </xdr:sp>
    <xdr:clientData/>
  </xdr:oneCellAnchor>
  <xdr:oneCellAnchor>
    <xdr:from>
      <xdr:col>10</xdr:col>
      <xdr:colOff>375921</xdr:colOff>
      <xdr:row>32</xdr:row>
      <xdr:rowOff>8466</xdr:rowOff>
    </xdr:from>
    <xdr:ext cx="732252" cy="264560"/>
    <xdr:sp macro="" textlink="">
      <xdr:nvSpPr>
        <xdr:cNvPr id="43" name="TextBox 42"/>
        <xdr:cNvSpPr txBox="1"/>
      </xdr:nvSpPr>
      <xdr:spPr>
        <a:xfrm>
          <a:off x="6471921" y="5968999"/>
          <a:ext cx="73225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a:solidFill>
                <a:schemeClr val="bg1"/>
              </a:solidFill>
              <a:effectLst/>
              <a:latin typeface="+mn-lt"/>
              <a:ea typeface="+mn-ea"/>
              <a:cs typeface="+mn-cs"/>
            </a:rPr>
            <a:t>Manager</a:t>
          </a:r>
          <a:r>
            <a:rPr lang="en-IN">
              <a:solidFill>
                <a:schemeClr val="bg1"/>
              </a:solidFill>
            </a:rPr>
            <a:t> </a:t>
          </a:r>
          <a:endParaRPr lang="en-IN" sz="1100">
            <a:solidFill>
              <a:schemeClr val="bg1"/>
            </a:solidFill>
          </a:endParaRPr>
        </a:p>
      </xdr:txBody>
    </xdr:sp>
    <xdr:clientData/>
  </xdr:oneCellAnchor>
  <xdr:oneCellAnchor>
    <xdr:from>
      <xdr:col>12</xdr:col>
      <xdr:colOff>435188</xdr:colOff>
      <xdr:row>24</xdr:row>
      <xdr:rowOff>110067</xdr:rowOff>
    </xdr:from>
    <xdr:ext cx="1101199" cy="264560"/>
    <xdr:sp macro="" textlink="PivotTable!F16">
      <xdr:nvSpPr>
        <xdr:cNvPr id="44" name="TextBox 43"/>
        <xdr:cNvSpPr txBox="1"/>
      </xdr:nvSpPr>
      <xdr:spPr>
        <a:xfrm>
          <a:off x="7750388" y="4580467"/>
          <a:ext cx="11011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8696400-7E25-4C12-AF9C-1E13D53D12F3}" type="TxLink">
            <a:rPr lang="en-IN" sz="1100">
              <a:solidFill>
                <a:schemeClr val="bg1"/>
              </a:solidFill>
            </a:rPr>
            <a:pPr/>
            <a:t> ₹ 31,04,913.00 </a:t>
          </a:fld>
          <a:endParaRPr lang="en-IN" sz="1100">
            <a:solidFill>
              <a:schemeClr val="bg1"/>
            </a:solidFill>
          </a:endParaRPr>
        </a:p>
      </xdr:txBody>
    </xdr:sp>
    <xdr:clientData/>
  </xdr:oneCellAnchor>
  <xdr:oneCellAnchor>
    <xdr:from>
      <xdr:col>12</xdr:col>
      <xdr:colOff>469055</xdr:colOff>
      <xdr:row>26</xdr:row>
      <xdr:rowOff>5080</xdr:rowOff>
    </xdr:from>
    <xdr:ext cx="1029705" cy="264560"/>
    <xdr:sp macro="" textlink="PivotTable!F11">
      <xdr:nvSpPr>
        <xdr:cNvPr id="45" name="TextBox 44"/>
        <xdr:cNvSpPr txBox="1"/>
      </xdr:nvSpPr>
      <xdr:spPr>
        <a:xfrm>
          <a:off x="7784255" y="4848013"/>
          <a:ext cx="10297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FB9E002-F47B-4596-B54E-68F7C119825A}" type="TxLink">
            <a:rPr lang="en-IN" sz="1100">
              <a:solidFill>
                <a:schemeClr val="bg1"/>
              </a:solidFill>
            </a:rPr>
            <a:pPr/>
            <a:t> ₹ 1,67,041.00 </a:t>
          </a:fld>
          <a:endParaRPr lang="en-IN" sz="1100">
            <a:solidFill>
              <a:schemeClr val="bg1"/>
            </a:solidFill>
          </a:endParaRPr>
        </a:p>
      </xdr:txBody>
    </xdr:sp>
    <xdr:clientData/>
  </xdr:oneCellAnchor>
  <xdr:oneCellAnchor>
    <xdr:from>
      <xdr:col>12</xdr:col>
      <xdr:colOff>477521</xdr:colOff>
      <xdr:row>27</xdr:row>
      <xdr:rowOff>137160</xdr:rowOff>
    </xdr:from>
    <xdr:ext cx="1029705" cy="264560"/>
    <xdr:sp macro="" textlink="PivotTable!F12">
      <xdr:nvSpPr>
        <xdr:cNvPr id="46" name="TextBox 45"/>
        <xdr:cNvSpPr txBox="1"/>
      </xdr:nvSpPr>
      <xdr:spPr>
        <a:xfrm>
          <a:off x="7792721" y="5166360"/>
          <a:ext cx="10297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3763DFF-FDE9-4A28-AB45-1177D7A53AD4}" type="TxLink">
            <a:rPr lang="en-IN" sz="1100">
              <a:solidFill>
                <a:schemeClr val="bg1"/>
              </a:solidFill>
            </a:rPr>
            <a:pPr/>
            <a:t> ₹ 6,13,842.00 </a:t>
          </a:fld>
          <a:endParaRPr lang="en-IN" sz="1100">
            <a:solidFill>
              <a:schemeClr val="bg1"/>
            </a:solidFill>
          </a:endParaRPr>
        </a:p>
      </xdr:txBody>
    </xdr:sp>
    <xdr:clientData/>
  </xdr:oneCellAnchor>
  <xdr:oneCellAnchor>
    <xdr:from>
      <xdr:col>12</xdr:col>
      <xdr:colOff>452121</xdr:colOff>
      <xdr:row>29</xdr:row>
      <xdr:rowOff>57573</xdr:rowOff>
    </xdr:from>
    <xdr:ext cx="1029705" cy="264560"/>
    <xdr:sp macro="" textlink="PivotTable!F13">
      <xdr:nvSpPr>
        <xdr:cNvPr id="47" name="TextBox 46"/>
        <xdr:cNvSpPr txBox="1"/>
      </xdr:nvSpPr>
      <xdr:spPr>
        <a:xfrm>
          <a:off x="7767321" y="5459306"/>
          <a:ext cx="10297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1F2612-507B-43BB-B8F6-65054473F509}" type="TxLink">
            <a:rPr lang="en-IN" sz="1100">
              <a:solidFill>
                <a:schemeClr val="bg1"/>
              </a:solidFill>
            </a:rPr>
            <a:pPr/>
            <a:t> ₹ 6,33,594.00 </a:t>
          </a:fld>
          <a:endParaRPr lang="en-IN" sz="1100">
            <a:solidFill>
              <a:schemeClr val="bg1"/>
            </a:solidFill>
          </a:endParaRPr>
        </a:p>
      </xdr:txBody>
    </xdr:sp>
    <xdr:clientData/>
  </xdr:oneCellAnchor>
  <xdr:oneCellAnchor>
    <xdr:from>
      <xdr:col>12</xdr:col>
      <xdr:colOff>477521</xdr:colOff>
      <xdr:row>30</xdr:row>
      <xdr:rowOff>113453</xdr:rowOff>
    </xdr:from>
    <xdr:ext cx="1029705" cy="264560"/>
    <xdr:sp macro="" textlink="PivotTable!F14">
      <xdr:nvSpPr>
        <xdr:cNvPr id="48" name="TextBox 47"/>
        <xdr:cNvSpPr txBox="1"/>
      </xdr:nvSpPr>
      <xdr:spPr>
        <a:xfrm>
          <a:off x="7792721" y="5701453"/>
          <a:ext cx="10297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DDD09B5-41EB-4A0C-AE95-9B2C1242C3D2}" type="TxLink">
            <a:rPr lang="en-US">
              <a:solidFill>
                <a:schemeClr val="bg1"/>
              </a:solidFill>
            </a:rPr>
            <a:pPr/>
            <a:t> ₹ 9,59,266.00 </a:t>
          </a:fld>
          <a:endParaRPr lang="en-US">
            <a:solidFill>
              <a:schemeClr val="bg1"/>
            </a:solidFill>
          </a:endParaRPr>
        </a:p>
      </xdr:txBody>
    </xdr:sp>
    <xdr:clientData/>
  </xdr:oneCellAnchor>
  <xdr:oneCellAnchor>
    <xdr:from>
      <xdr:col>12</xdr:col>
      <xdr:colOff>460588</xdr:colOff>
      <xdr:row>32</xdr:row>
      <xdr:rowOff>25400</xdr:rowOff>
    </xdr:from>
    <xdr:ext cx="1029705" cy="264560"/>
    <xdr:sp macro="" textlink="PivotTable!F15">
      <xdr:nvSpPr>
        <xdr:cNvPr id="49" name="TextBox 48"/>
        <xdr:cNvSpPr txBox="1"/>
      </xdr:nvSpPr>
      <xdr:spPr>
        <a:xfrm>
          <a:off x="7775788" y="5985933"/>
          <a:ext cx="10297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0B1ADD-003C-4FF0-A21E-01C31C8050E1}" type="TxLink">
            <a:rPr lang="en-IN" sz="1100">
              <a:solidFill>
                <a:schemeClr val="bg1"/>
              </a:solidFill>
            </a:rPr>
            <a:pPr/>
            <a:t> ₹ 7,31,170.00 </a:t>
          </a:fld>
          <a:endParaRPr lang="en-IN" sz="1100">
            <a:solidFill>
              <a:schemeClr val="bg1"/>
            </a:solidFill>
          </a:endParaRPr>
        </a:p>
      </xdr:txBody>
    </xdr:sp>
    <xdr:clientData/>
  </xdr:oneCellAnchor>
  <xdr:twoCellAnchor>
    <xdr:from>
      <xdr:col>15</xdr:col>
      <xdr:colOff>42333</xdr:colOff>
      <xdr:row>22</xdr:row>
      <xdr:rowOff>10161</xdr:rowOff>
    </xdr:from>
    <xdr:to>
      <xdr:col>17</xdr:col>
      <xdr:colOff>194732</xdr:colOff>
      <xdr:row>28</xdr:row>
      <xdr:rowOff>171026</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101600</xdr:colOff>
      <xdr:row>22</xdr:row>
      <xdr:rowOff>49106</xdr:rowOff>
    </xdr:from>
    <xdr:to>
      <xdr:col>19</xdr:col>
      <xdr:colOff>304800</xdr:colOff>
      <xdr:row>23</xdr:row>
      <xdr:rowOff>99907</xdr:rowOff>
    </xdr:to>
    <xdr:sp macro="" textlink="">
      <xdr:nvSpPr>
        <xdr:cNvPr id="7" name="Oval 6"/>
        <xdr:cNvSpPr/>
      </xdr:nvSpPr>
      <xdr:spPr>
        <a:xfrm>
          <a:off x="11684000" y="4146973"/>
          <a:ext cx="203200" cy="237067"/>
        </a:xfrm>
        <a:prstGeom prst="ellipse">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142240</xdr:colOff>
      <xdr:row>29</xdr:row>
      <xdr:rowOff>74507</xdr:rowOff>
    </xdr:from>
    <xdr:to>
      <xdr:col>19</xdr:col>
      <xdr:colOff>345440</xdr:colOff>
      <xdr:row>30</xdr:row>
      <xdr:rowOff>125307</xdr:rowOff>
    </xdr:to>
    <xdr:sp macro="" textlink="">
      <xdr:nvSpPr>
        <xdr:cNvPr id="51" name="Oval 50"/>
        <xdr:cNvSpPr/>
      </xdr:nvSpPr>
      <xdr:spPr>
        <a:xfrm>
          <a:off x="11724640" y="5476240"/>
          <a:ext cx="203200" cy="237067"/>
        </a:xfrm>
        <a:prstGeom prst="ellipse">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450427</xdr:colOff>
      <xdr:row>29</xdr:row>
      <xdr:rowOff>113454</xdr:rowOff>
    </xdr:from>
    <xdr:to>
      <xdr:col>17</xdr:col>
      <xdr:colOff>44027</xdr:colOff>
      <xdr:row>30</xdr:row>
      <xdr:rowOff>164254</xdr:rowOff>
    </xdr:to>
    <xdr:sp macro="" textlink="">
      <xdr:nvSpPr>
        <xdr:cNvPr id="52" name="Oval 51"/>
        <xdr:cNvSpPr/>
      </xdr:nvSpPr>
      <xdr:spPr>
        <a:xfrm>
          <a:off x="10204027" y="5515187"/>
          <a:ext cx="203200" cy="237067"/>
        </a:xfrm>
        <a:prstGeom prst="ellipse">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386080</xdr:colOff>
      <xdr:row>24</xdr:row>
      <xdr:rowOff>108375</xdr:rowOff>
    </xdr:from>
    <xdr:to>
      <xdr:col>10</xdr:col>
      <xdr:colOff>5080</xdr:colOff>
      <xdr:row>35</xdr:row>
      <xdr:rowOff>28997</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217802</xdr:colOff>
      <xdr:row>22</xdr:row>
      <xdr:rowOff>126786</xdr:rowOff>
    </xdr:from>
    <xdr:to>
      <xdr:col>3</xdr:col>
      <xdr:colOff>213357</xdr:colOff>
      <xdr:row>25</xdr:row>
      <xdr:rowOff>150704</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211032</xdr:colOff>
      <xdr:row>26</xdr:row>
      <xdr:rowOff>165949</xdr:rowOff>
    </xdr:from>
    <xdr:to>
      <xdr:col>3</xdr:col>
      <xdr:colOff>294852</xdr:colOff>
      <xdr:row>30</xdr:row>
      <xdr:rowOff>1906</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252518</xdr:colOff>
      <xdr:row>31</xdr:row>
      <xdr:rowOff>21527</xdr:rowOff>
    </xdr:from>
    <xdr:to>
      <xdr:col>3</xdr:col>
      <xdr:colOff>343958</xdr:colOff>
      <xdr:row>34</xdr:row>
      <xdr:rowOff>55395</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241087</xdr:colOff>
      <xdr:row>21</xdr:row>
      <xdr:rowOff>30269</xdr:rowOff>
    </xdr:from>
    <xdr:ext cx="1251368" cy="298800"/>
    <xdr:sp macro="" textlink="">
      <xdr:nvSpPr>
        <xdr:cNvPr id="57" name="TextBox 56"/>
        <xdr:cNvSpPr txBox="1"/>
      </xdr:nvSpPr>
      <xdr:spPr>
        <a:xfrm>
          <a:off x="241087" y="3941869"/>
          <a:ext cx="125136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bg1"/>
              </a:solidFill>
              <a:effectLst/>
              <a:latin typeface="Times New Roman" pitchFamily="18" charset="0"/>
              <a:ea typeface="+mn-ea"/>
              <a:cs typeface="Times New Roman" pitchFamily="18" charset="0"/>
            </a:rPr>
            <a:t>Branch Office</a:t>
          </a:r>
          <a:r>
            <a:rPr lang="en-IN" sz="1400">
              <a:solidFill>
                <a:schemeClr val="bg1"/>
              </a:solidFill>
              <a:latin typeface="Times New Roman" pitchFamily="18" charset="0"/>
              <a:cs typeface="Times New Roman" pitchFamily="18" charset="0"/>
            </a:rPr>
            <a:t> </a:t>
          </a:r>
        </a:p>
      </xdr:txBody>
    </xdr:sp>
    <xdr:clientData/>
  </xdr:oneCellAnchor>
  <xdr:oneCellAnchor>
    <xdr:from>
      <xdr:col>0</xdr:col>
      <xdr:colOff>274955</xdr:colOff>
      <xdr:row>25</xdr:row>
      <xdr:rowOff>81069</xdr:rowOff>
    </xdr:from>
    <xdr:ext cx="1066831" cy="298800"/>
    <xdr:sp macro="" textlink="">
      <xdr:nvSpPr>
        <xdr:cNvPr id="58" name="TextBox 57"/>
        <xdr:cNvSpPr txBox="1"/>
      </xdr:nvSpPr>
      <xdr:spPr>
        <a:xfrm>
          <a:off x="274955" y="4737736"/>
          <a:ext cx="10668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latin typeface="Times New Roman" pitchFamily="18" charset="0"/>
              <a:cs typeface="Times New Roman" pitchFamily="18" charset="0"/>
            </a:rPr>
            <a:t>Head</a:t>
          </a:r>
          <a:r>
            <a:rPr lang="en-IN" sz="1400" baseline="0">
              <a:solidFill>
                <a:schemeClr val="bg1"/>
              </a:solidFill>
              <a:latin typeface="Times New Roman" pitchFamily="18" charset="0"/>
              <a:cs typeface="Times New Roman" pitchFamily="18" charset="0"/>
            </a:rPr>
            <a:t> Office</a:t>
          </a:r>
          <a:endParaRPr lang="en-IN" sz="1400">
            <a:solidFill>
              <a:schemeClr val="bg1"/>
            </a:solidFill>
            <a:latin typeface="Times New Roman" pitchFamily="18" charset="0"/>
            <a:cs typeface="Times New Roman" pitchFamily="18" charset="0"/>
          </a:endParaRPr>
        </a:p>
      </xdr:txBody>
    </xdr:sp>
    <xdr:clientData/>
  </xdr:oneCellAnchor>
  <xdr:oneCellAnchor>
    <xdr:from>
      <xdr:col>3</xdr:col>
      <xdr:colOff>556048</xdr:colOff>
      <xdr:row>29</xdr:row>
      <xdr:rowOff>96309</xdr:rowOff>
    </xdr:from>
    <xdr:ext cx="513730" cy="298800"/>
    <xdr:sp macro="" textlink="PivotTable!N16">
      <xdr:nvSpPr>
        <xdr:cNvPr id="59" name="TextBox 58"/>
        <xdr:cNvSpPr txBox="1"/>
      </xdr:nvSpPr>
      <xdr:spPr>
        <a:xfrm>
          <a:off x="2384848" y="5498042"/>
          <a:ext cx="5137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A496F2C-C095-41E4-85F1-75A3A40EB20A}" type="TxLink">
            <a:rPr lang="en-IN" sz="1400">
              <a:solidFill>
                <a:schemeClr val="bg1"/>
              </a:solidFill>
              <a:latin typeface="Times New Roman" pitchFamily="18" charset="0"/>
              <a:cs typeface="Times New Roman" pitchFamily="18" charset="0"/>
            </a:rPr>
            <a:pPr/>
            <a:t>38%</a:t>
          </a:fld>
          <a:endParaRPr lang="en-IN" sz="1400">
            <a:solidFill>
              <a:schemeClr val="bg1"/>
            </a:solidFill>
            <a:latin typeface="Times New Roman" pitchFamily="18" charset="0"/>
            <a:cs typeface="Times New Roman" pitchFamily="18" charset="0"/>
          </a:endParaRPr>
        </a:p>
      </xdr:txBody>
    </xdr:sp>
    <xdr:clientData/>
  </xdr:oneCellAnchor>
  <xdr:oneCellAnchor>
    <xdr:from>
      <xdr:col>3</xdr:col>
      <xdr:colOff>493394</xdr:colOff>
      <xdr:row>21</xdr:row>
      <xdr:rowOff>104773</xdr:rowOff>
    </xdr:from>
    <xdr:ext cx="513730" cy="298800"/>
    <xdr:sp macro="" textlink="PivotTable!N14">
      <xdr:nvSpPr>
        <xdr:cNvPr id="60" name="TextBox 59"/>
        <xdr:cNvSpPr txBox="1"/>
      </xdr:nvSpPr>
      <xdr:spPr>
        <a:xfrm>
          <a:off x="2322194" y="4016373"/>
          <a:ext cx="5137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2E3C59C-61EA-4E85-991C-81613E01D311}" type="TxLink">
            <a:rPr lang="en-IN" sz="1400">
              <a:solidFill>
                <a:schemeClr val="bg1"/>
              </a:solidFill>
              <a:latin typeface="Times New Roman" pitchFamily="18" charset="0"/>
              <a:cs typeface="Times New Roman" pitchFamily="18" charset="0"/>
            </a:rPr>
            <a:pPr/>
            <a:t>46%</a:t>
          </a:fld>
          <a:endParaRPr lang="en-IN" sz="1400">
            <a:solidFill>
              <a:schemeClr val="bg1"/>
            </a:solidFill>
            <a:latin typeface="Times New Roman" pitchFamily="18" charset="0"/>
            <a:cs typeface="Times New Roman" pitchFamily="18" charset="0"/>
          </a:endParaRPr>
        </a:p>
      </xdr:txBody>
    </xdr:sp>
    <xdr:clientData/>
  </xdr:oneCellAnchor>
  <xdr:oneCellAnchor>
    <xdr:from>
      <xdr:col>3</xdr:col>
      <xdr:colOff>549275</xdr:colOff>
      <xdr:row>25</xdr:row>
      <xdr:rowOff>170814</xdr:rowOff>
    </xdr:from>
    <xdr:ext cx="513730" cy="298800"/>
    <xdr:sp macro="" textlink="PivotTable!N15">
      <xdr:nvSpPr>
        <xdr:cNvPr id="61" name="TextBox 60"/>
        <xdr:cNvSpPr txBox="1"/>
      </xdr:nvSpPr>
      <xdr:spPr>
        <a:xfrm>
          <a:off x="2378075" y="4827481"/>
          <a:ext cx="5137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1CDF68C-2094-41FF-BD91-E6B668B93FEA}" type="TxLink">
            <a:rPr lang="en-IN" sz="1400">
              <a:solidFill>
                <a:schemeClr val="bg1"/>
              </a:solidFill>
              <a:latin typeface="Times New Roman" pitchFamily="18" charset="0"/>
              <a:cs typeface="Times New Roman" pitchFamily="18" charset="0"/>
            </a:rPr>
            <a:pPr/>
            <a:t>16%</a:t>
          </a:fld>
          <a:endParaRPr lang="en-IN" sz="1400">
            <a:solidFill>
              <a:schemeClr val="bg1"/>
            </a:solidFill>
            <a:latin typeface="Times New Roman" pitchFamily="18" charset="0"/>
            <a:cs typeface="Times New Roman" pitchFamily="18" charset="0"/>
          </a:endParaRPr>
        </a:p>
      </xdr:txBody>
    </xdr:sp>
    <xdr:clientData/>
  </xdr:oneCellAnchor>
  <xdr:oneCellAnchor>
    <xdr:from>
      <xdr:col>0</xdr:col>
      <xdr:colOff>223520</xdr:colOff>
      <xdr:row>18</xdr:row>
      <xdr:rowOff>59267</xdr:rowOff>
    </xdr:from>
    <xdr:ext cx="1276440" cy="298800"/>
    <xdr:sp macro="" textlink="">
      <xdr:nvSpPr>
        <xdr:cNvPr id="9" name="TextBox 8"/>
        <xdr:cNvSpPr txBox="1"/>
      </xdr:nvSpPr>
      <xdr:spPr>
        <a:xfrm>
          <a:off x="223520" y="3412067"/>
          <a:ext cx="127644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Work Location</a:t>
          </a:r>
          <a:endParaRPr lang="en-IN" sz="1400">
            <a:solidFill>
              <a:schemeClr val="bg1"/>
            </a:solidFill>
            <a:latin typeface="Times New Roman" pitchFamily="18" charset="0"/>
            <a:cs typeface="Times New Roman" pitchFamily="18" charset="0"/>
          </a:endParaRPr>
        </a:p>
      </xdr:txBody>
    </xdr:sp>
    <xdr:clientData/>
  </xdr:oneCellAnchor>
  <xdr:oneCellAnchor>
    <xdr:from>
      <xdr:col>11</xdr:col>
      <xdr:colOff>470747</xdr:colOff>
      <xdr:row>21</xdr:row>
      <xdr:rowOff>63340</xdr:rowOff>
    </xdr:from>
    <xdr:ext cx="753027" cy="298800"/>
    <xdr:sp macro="" textlink="">
      <xdr:nvSpPr>
        <xdr:cNvPr id="62" name="TextBox 61"/>
        <xdr:cNvSpPr txBox="1"/>
      </xdr:nvSpPr>
      <xdr:spPr>
        <a:xfrm>
          <a:off x="7176347" y="3974940"/>
          <a:ext cx="7530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Salaries</a:t>
          </a:r>
          <a:endParaRPr lang="en-IN" sz="1400">
            <a:solidFill>
              <a:schemeClr val="bg1"/>
            </a:solidFill>
            <a:latin typeface="Times New Roman" pitchFamily="18" charset="0"/>
            <a:cs typeface="Times New Roman" pitchFamily="18" charset="0"/>
          </a:endParaRPr>
        </a:p>
      </xdr:txBody>
    </xdr:sp>
    <xdr:clientData/>
  </xdr:oneCellAnchor>
  <xdr:oneCellAnchor>
    <xdr:from>
      <xdr:col>6</xdr:col>
      <xdr:colOff>588644</xdr:colOff>
      <xdr:row>21</xdr:row>
      <xdr:rowOff>119803</xdr:rowOff>
    </xdr:from>
    <xdr:ext cx="987386" cy="298800"/>
    <xdr:sp macro="" textlink="">
      <xdr:nvSpPr>
        <xdr:cNvPr id="63" name="TextBox 62"/>
        <xdr:cNvSpPr txBox="1"/>
      </xdr:nvSpPr>
      <xdr:spPr>
        <a:xfrm>
          <a:off x="4246244" y="4031403"/>
          <a:ext cx="98738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Age</a:t>
          </a:r>
          <a:r>
            <a:rPr lang="en-IN" sz="1400" baseline="0">
              <a:solidFill>
                <a:schemeClr val="bg1"/>
              </a:solidFill>
              <a:effectLst/>
              <a:latin typeface="Times New Roman" pitchFamily="18" charset="0"/>
              <a:ea typeface="+mn-ea"/>
              <a:cs typeface="Times New Roman" pitchFamily="18" charset="0"/>
            </a:rPr>
            <a:t> Range</a:t>
          </a:r>
          <a:endParaRPr lang="en-IN" sz="1400">
            <a:solidFill>
              <a:schemeClr val="bg1"/>
            </a:solidFill>
            <a:latin typeface="Times New Roman" pitchFamily="18" charset="0"/>
            <a:cs typeface="Times New Roman" pitchFamily="18" charset="0"/>
          </a:endParaRPr>
        </a:p>
      </xdr:txBody>
    </xdr:sp>
    <xdr:clientData/>
  </xdr:oneCellAnchor>
  <xdr:twoCellAnchor>
    <xdr:from>
      <xdr:col>0</xdr:col>
      <xdr:colOff>284480</xdr:colOff>
      <xdr:row>7</xdr:row>
      <xdr:rowOff>143933</xdr:rowOff>
    </xdr:from>
    <xdr:to>
      <xdr:col>4</xdr:col>
      <xdr:colOff>381075</xdr:colOff>
      <xdr:row>16</xdr:row>
      <xdr:rowOff>118135</xdr:rowOff>
    </xdr:to>
    <xdr:sp macro="" textlink="">
      <xdr:nvSpPr>
        <xdr:cNvPr id="65" name="Rectangle 64"/>
        <xdr:cNvSpPr/>
      </xdr:nvSpPr>
      <xdr:spPr>
        <a:xfrm>
          <a:off x="284480" y="1447800"/>
          <a:ext cx="2534995" cy="1650602"/>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384388</xdr:colOff>
      <xdr:row>9</xdr:row>
      <xdr:rowOff>44822</xdr:rowOff>
    </xdr:from>
    <xdr:ext cx="1341649" cy="298800"/>
    <xdr:sp macro="" textlink="">
      <xdr:nvSpPr>
        <xdr:cNvPr id="66" name="TextBox 65"/>
        <xdr:cNvSpPr txBox="1"/>
      </xdr:nvSpPr>
      <xdr:spPr>
        <a:xfrm>
          <a:off x="384388" y="1721222"/>
          <a:ext cx="134164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latin typeface="Times New Roman" pitchFamily="18" charset="0"/>
              <a:cs typeface="Times New Roman" pitchFamily="18" charset="0"/>
            </a:rPr>
            <a:t>Communication</a:t>
          </a:r>
        </a:p>
      </xdr:txBody>
    </xdr:sp>
    <xdr:clientData/>
  </xdr:oneCellAnchor>
  <xdr:oneCellAnchor>
    <xdr:from>
      <xdr:col>0</xdr:col>
      <xdr:colOff>384388</xdr:colOff>
      <xdr:row>10</xdr:row>
      <xdr:rowOff>105781</xdr:rowOff>
    </xdr:from>
    <xdr:ext cx="693331" cy="298800"/>
    <xdr:sp macro="" textlink="">
      <xdr:nvSpPr>
        <xdr:cNvPr id="67" name="TextBox 66"/>
        <xdr:cNvSpPr txBox="1"/>
      </xdr:nvSpPr>
      <xdr:spPr>
        <a:xfrm>
          <a:off x="384388" y="1968448"/>
          <a:ext cx="69333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bg1"/>
              </a:solidFill>
              <a:effectLst/>
              <a:latin typeface="Times New Roman" pitchFamily="18" charset="0"/>
              <a:ea typeface="+mn-ea"/>
              <a:cs typeface="Times New Roman" pitchFamily="18" charset="0"/>
            </a:rPr>
            <a:t>Design</a:t>
          </a:r>
        </a:p>
      </xdr:txBody>
    </xdr:sp>
    <xdr:clientData/>
  </xdr:oneCellAnchor>
  <xdr:oneCellAnchor>
    <xdr:from>
      <xdr:col>0</xdr:col>
      <xdr:colOff>384388</xdr:colOff>
      <xdr:row>11</xdr:row>
      <xdr:rowOff>178595</xdr:rowOff>
    </xdr:from>
    <xdr:ext cx="593368" cy="298800"/>
    <xdr:sp macro="" textlink="">
      <xdr:nvSpPr>
        <xdr:cNvPr id="68" name="TextBox 67"/>
        <xdr:cNvSpPr txBox="1"/>
      </xdr:nvSpPr>
      <xdr:spPr>
        <a:xfrm>
          <a:off x="384388" y="2227528"/>
          <a:ext cx="59336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bg1"/>
              </a:solidFill>
              <a:effectLst/>
              <a:latin typeface="Times New Roman" pitchFamily="18" charset="0"/>
              <a:ea typeface="+mn-ea"/>
              <a:cs typeface="Times New Roman" pitchFamily="18" charset="0"/>
            </a:rPr>
            <a:t>Excel</a:t>
          </a:r>
          <a:endParaRPr lang="en-IN" sz="1400">
            <a:solidFill>
              <a:schemeClr val="bg1"/>
            </a:solidFill>
            <a:latin typeface="Times New Roman" pitchFamily="18" charset="0"/>
            <a:cs typeface="Times New Roman" pitchFamily="18" charset="0"/>
          </a:endParaRPr>
        </a:p>
      </xdr:txBody>
    </xdr:sp>
    <xdr:clientData/>
  </xdr:oneCellAnchor>
  <xdr:oneCellAnchor>
    <xdr:from>
      <xdr:col>0</xdr:col>
      <xdr:colOff>384388</xdr:colOff>
      <xdr:row>13</xdr:row>
      <xdr:rowOff>61754</xdr:rowOff>
    </xdr:from>
    <xdr:ext cx="1166858" cy="298800"/>
    <xdr:sp macro="" textlink="">
      <xdr:nvSpPr>
        <xdr:cNvPr id="69" name="TextBox 68"/>
        <xdr:cNvSpPr txBox="1"/>
      </xdr:nvSpPr>
      <xdr:spPr>
        <a:xfrm>
          <a:off x="384388" y="2483221"/>
          <a:ext cx="116685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bg1"/>
              </a:solidFill>
              <a:effectLst/>
              <a:latin typeface="Times New Roman" pitchFamily="18" charset="0"/>
              <a:ea typeface="+mn-ea"/>
              <a:cs typeface="Times New Roman" pitchFamily="18" charset="0"/>
            </a:rPr>
            <a:t>Management</a:t>
          </a:r>
          <a:r>
            <a:rPr lang="en-IN" sz="1400">
              <a:solidFill>
                <a:schemeClr val="bg1"/>
              </a:solidFill>
              <a:latin typeface="Times New Roman" pitchFamily="18" charset="0"/>
              <a:cs typeface="Times New Roman" pitchFamily="18" charset="0"/>
            </a:rPr>
            <a:t> </a:t>
          </a:r>
        </a:p>
      </xdr:txBody>
    </xdr:sp>
    <xdr:clientData/>
  </xdr:oneCellAnchor>
  <xdr:oneCellAnchor>
    <xdr:from>
      <xdr:col>0</xdr:col>
      <xdr:colOff>384388</xdr:colOff>
      <xdr:row>14</xdr:row>
      <xdr:rowOff>137955</xdr:rowOff>
    </xdr:from>
    <xdr:ext cx="693460" cy="298800"/>
    <xdr:sp macro="" textlink="">
      <xdr:nvSpPr>
        <xdr:cNvPr id="70" name="TextBox 69"/>
        <xdr:cNvSpPr txBox="1"/>
      </xdr:nvSpPr>
      <xdr:spPr>
        <a:xfrm>
          <a:off x="384388" y="2745688"/>
          <a:ext cx="69346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i="0" u="none" strike="noStrike">
              <a:solidFill>
                <a:schemeClr val="bg1"/>
              </a:solidFill>
              <a:effectLst/>
              <a:latin typeface="Times New Roman" pitchFamily="18" charset="0"/>
              <a:ea typeface="+mn-ea"/>
              <a:cs typeface="Times New Roman" pitchFamily="18" charset="0"/>
            </a:rPr>
            <a:t>Python</a:t>
          </a:r>
          <a:endParaRPr lang="en-IN" sz="1400">
            <a:solidFill>
              <a:schemeClr val="bg1"/>
            </a:solidFill>
            <a:latin typeface="Times New Roman" pitchFamily="18" charset="0"/>
            <a:cs typeface="Times New Roman" pitchFamily="18" charset="0"/>
          </a:endParaRPr>
        </a:p>
      </xdr:txBody>
    </xdr:sp>
    <xdr:clientData/>
  </xdr:oneCellAnchor>
  <xdr:oneCellAnchor>
    <xdr:from>
      <xdr:col>3</xdr:col>
      <xdr:colOff>343701</xdr:colOff>
      <xdr:row>9</xdr:row>
      <xdr:rowOff>109168</xdr:rowOff>
    </xdr:from>
    <xdr:ext cx="327654" cy="264560"/>
    <xdr:sp macro="" textlink="PivotTable!R11">
      <xdr:nvSpPr>
        <xdr:cNvPr id="79" name="TextBox 78"/>
        <xdr:cNvSpPr txBox="1"/>
      </xdr:nvSpPr>
      <xdr:spPr>
        <a:xfrm>
          <a:off x="2172501" y="1785568"/>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6A29021-D0D1-402D-A510-9F772FD6C8A7}" type="TxLink">
            <a:rPr lang="en-IN" sz="1100">
              <a:solidFill>
                <a:schemeClr val="bg1"/>
              </a:solidFill>
            </a:rPr>
            <a:pPr/>
            <a:t>12</a:t>
          </a:fld>
          <a:endParaRPr lang="en-IN" sz="1100">
            <a:solidFill>
              <a:schemeClr val="bg1"/>
            </a:solidFill>
          </a:endParaRPr>
        </a:p>
      </xdr:txBody>
    </xdr:sp>
    <xdr:clientData/>
  </xdr:oneCellAnchor>
  <xdr:oneCellAnchor>
    <xdr:from>
      <xdr:col>3</xdr:col>
      <xdr:colOff>343701</xdr:colOff>
      <xdr:row>10</xdr:row>
      <xdr:rowOff>166741</xdr:rowOff>
    </xdr:from>
    <xdr:ext cx="327654" cy="264560"/>
    <xdr:sp macro="" textlink="PivotTable!R12">
      <xdr:nvSpPr>
        <xdr:cNvPr id="80" name="TextBox 79"/>
        <xdr:cNvSpPr txBox="1"/>
      </xdr:nvSpPr>
      <xdr:spPr>
        <a:xfrm>
          <a:off x="2172501" y="2029408"/>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49D1292-FA38-42AA-9612-C4CEA029B861}" type="TxLink">
            <a:rPr lang="en-IN" sz="1100" b="0" i="0" u="none" strike="noStrike">
              <a:solidFill>
                <a:schemeClr val="bg1"/>
              </a:solidFill>
              <a:effectLst/>
              <a:latin typeface="+mn-lt"/>
              <a:ea typeface="+mn-ea"/>
              <a:cs typeface="+mn-cs"/>
            </a:rPr>
            <a:pPr/>
            <a:t>11</a:t>
          </a:fld>
          <a:endParaRPr lang="en-IN" sz="1100">
            <a:solidFill>
              <a:schemeClr val="bg1"/>
            </a:solidFill>
          </a:endParaRPr>
        </a:p>
      </xdr:txBody>
    </xdr:sp>
    <xdr:clientData/>
  </xdr:oneCellAnchor>
  <xdr:oneCellAnchor>
    <xdr:from>
      <xdr:col>3</xdr:col>
      <xdr:colOff>415195</xdr:colOff>
      <xdr:row>12</xdr:row>
      <xdr:rowOff>53288</xdr:rowOff>
    </xdr:from>
    <xdr:ext cx="256160" cy="264560"/>
    <xdr:sp macro="" textlink="PivotTable!R13">
      <xdr:nvSpPr>
        <xdr:cNvPr id="81" name="TextBox 80"/>
        <xdr:cNvSpPr txBox="1"/>
      </xdr:nvSpPr>
      <xdr:spPr>
        <a:xfrm>
          <a:off x="2243995" y="2288488"/>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4B0ABB5-B919-41BD-8E92-E74C853F0B0F}" type="TxLink">
            <a:rPr lang="en-IN" sz="1100" b="0" i="0" u="none" strike="noStrike">
              <a:solidFill>
                <a:schemeClr val="bg1"/>
              </a:solidFill>
              <a:effectLst/>
              <a:latin typeface="+mn-lt"/>
              <a:ea typeface="+mn-ea"/>
              <a:cs typeface="+mn-cs"/>
            </a:rPr>
            <a:pPr/>
            <a:t>7</a:t>
          </a:fld>
          <a:endParaRPr lang="en-IN" sz="1100">
            <a:solidFill>
              <a:schemeClr val="bg1"/>
            </a:solidFill>
          </a:endParaRPr>
        </a:p>
      </xdr:txBody>
    </xdr:sp>
    <xdr:clientData/>
  </xdr:oneCellAnchor>
  <xdr:oneCellAnchor>
    <xdr:from>
      <xdr:col>3</xdr:col>
      <xdr:colOff>343701</xdr:colOff>
      <xdr:row>13</xdr:row>
      <xdr:rowOff>126101</xdr:rowOff>
    </xdr:from>
    <xdr:ext cx="327654" cy="264560"/>
    <xdr:sp macro="" textlink="PivotTable!R14">
      <xdr:nvSpPr>
        <xdr:cNvPr id="82" name="TextBox 81"/>
        <xdr:cNvSpPr txBox="1"/>
      </xdr:nvSpPr>
      <xdr:spPr>
        <a:xfrm>
          <a:off x="2172501" y="2547568"/>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40712E8-8899-422A-B916-FA467284B017}" type="TxLink">
            <a:rPr lang="en-IN" sz="1100" b="0" i="0" u="none" strike="noStrike">
              <a:solidFill>
                <a:schemeClr val="bg1"/>
              </a:solidFill>
              <a:effectLst/>
              <a:latin typeface="+mn-lt"/>
              <a:ea typeface="+mn-ea"/>
              <a:cs typeface="+mn-cs"/>
            </a:rPr>
            <a:pPr/>
            <a:t>11</a:t>
          </a:fld>
          <a:endParaRPr lang="en-IN" sz="1100">
            <a:solidFill>
              <a:schemeClr val="bg1"/>
            </a:solidFill>
          </a:endParaRPr>
        </a:p>
      </xdr:txBody>
    </xdr:sp>
    <xdr:clientData/>
  </xdr:oneCellAnchor>
  <xdr:oneCellAnchor>
    <xdr:from>
      <xdr:col>3</xdr:col>
      <xdr:colOff>415195</xdr:colOff>
      <xdr:row>15</xdr:row>
      <xdr:rowOff>12648</xdr:rowOff>
    </xdr:from>
    <xdr:ext cx="256160" cy="264560"/>
    <xdr:sp macro="" textlink="PivotTable!R15">
      <xdr:nvSpPr>
        <xdr:cNvPr id="83" name="TextBox 82"/>
        <xdr:cNvSpPr txBox="1"/>
      </xdr:nvSpPr>
      <xdr:spPr>
        <a:xfrm>
          <a:off x="2243995" y="2806648"/>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3A267D2-8F0E-41A2-A24E-250008E13D74}" type="TxLink">
            <a:rPr lang="en-IN" sz="1100">
              <a:solidFill>
                <a:schemeClr val="bg1"/>
              </a:solidFill>
            </a:rPr>
            <a:pPr/>
            <a:t>9</a:t>
          </a:fld>
          <a:endParaRPr lang="en-IN" sz="1100">
            <a:solidFill>
              <a:schemeClr val="bg1"/>
            </a:solidFill>
          </a:endParaRPr>
        </a:p>
      </xdr:txBody>
    </xdr:sp>
    <xdr:clientData/>
  </xdr:oneCellAnchor>
  <xdr:oneCellAnchor>
    <xdr:from>
      <xdr:col>0</xdr:col>
      <xdr:colOff>303107</xdr:colOff>
      <xdr:row>6</xdr:row>
      <xdr:rowOff>10161</xdr:rowOff>
    </xdr:from>
    <xdr:ext cx="1466363" cy="298800"/>
    <xdr:sp macro="" textlink="">
      <xdr:nvSpPr>
        <xdr:cNvPr id="91" name="TextBox 90"/>
        <xdr:cNvSpPr txBox="1"/>
      </xdr:nvSpPr>
      <xdr:spPr>
        <a:xfrm>
          <a:off x="303107" y="1127761"/>
          <a:ext cx="146636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Skills</a:t>
          </a:r>
          <a:r>
            <a:rPr lang="en-IN" sz="1400" baseline="0">
              <a:solidFill>
                <a:schemeClr val="bg1"/>
              </a:solidFill>
              <a:effectLst/>
              <a:latin typeface="Times New Roman" pitchFamily="18" charset="0"/>
              <a:ea typeface="+mn-ea"/>
              <a:cs typeface="Times New Roman" pitchFamily="18" charset="0"/>
            </a:rPr>
            <a:t> Breakdown</a:t>
          </a:r>
          <a:endParaRPr lang="en-IN" sz="1400">
            <a:solidFill>
              <a:schemeClr val="bg1"/>
            </a:solidFill>
            <a:latin typeface="Times New Roman" pitchFamily="18" charset="0"/>
            <a:cs typeface="Times New Roman" pitchFamily="18" charset="0"/>
          </a:endParaRPr>
        </a:p>
      </xdr:txBody>
    </xdr:sp>
    <xdr:clientData/>
  </xdr:oneCellAnchor>
  <xdr:oneCellAnchor>
    <xdr:from>
      <xdr:col>7</xdr:col>
      <xdr:colOff>478779</xdr:colOff>
      <xdr:row>9</xdr:row>
      <xdr:rowOff>39613</xdr:rowOff>
    </xdr:from>
    <xdr:ext cx="621888" cy="505203"/>
    <xdr:sp macro="" textlink="PivotTable!J22">
      <xdr:nvSpPr>
        <xdr:cNvPr id="92" name="TextBox 91"/>
        <xdr:cNvSpPr txBox="1"/>
      </xdr:nvSpPr>
      <xdr:spPr>
        <a:xfrm>
          <a:off x="4745979" y="1716013"/>
          <a:ext cx="621888"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5F61D7F-A027-4911-BEED-A4DDE8FF711E}" type="TxLink">
            <a:rPr lang="en-IN" sz="2800">
              <a:solidFill>
                <a:schemeClr val="bg1"/>
              </a:solidFill>
              <a:latin typeface="Times New Roman" pitchFamily="18" charset="0"/>
              <a:cs typeface="Times New Roman" pitchFamily="18" charset="0"/>
            </a:rPr>
            <a:pPr/>
            <a:t>50</a:t>
          </a:fld>
          <a:endParaRPr lang="en-IN" sz="2800">
            <a:solidFill>
              <a:schemeClr val="bg1"/>
            </a:solidFill>
            <a:latin typeface="Times New Roman" pitchFamily="18" charset="0"/>
            <a:cs typeface="Times New Roman" pitchFamily="18" charset="0"/>
          </a:endParaRPr>
        </a:p>
      </xdr:txBody>
    </xdr:sp>
    <xdr:clientData/>
  </xdr:oneCellAnchor>
  <xdr:oneCellAnchor>
    <xdr:from>
      <xdr:col>7</xdr:col>
      <xdr:colOff>80312</xdr:colOff>
      <xdr:row>7</xdr:row>
      <xdr:rowOff>114119</xdr:rowOff>
    </xdr:from>
    <xdr:ext cx="1545744" cy="298800"/>
    <xdr:sp macro="" textlink="">
      <xdr:nvSpPr>
        <xdr:cNvPr id="93" name="TextBox 92"/>
        <xdr:cNvSpPr txBox="1"/>
      </xdr:nvSpPr>
      <xdr:spPr>
        <a:xfrm>
          <a:off x="4347512" y="1417986"/>
          <a:ext cx="154574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Employee</a:t>
          </a:r>
          <a:r>
            <a:rPr lang="en-IN" sz="1400" baseline="0">
              <a:solidFill>
                <a:schemeClr val="bg1"/>
              </a:solidFill>
              <a:effectLst/>
              <a:latin typeface="Times New Roman" pitchFamily="18" charset="0"/>
              <a:ea typeface="+mn-ea"/>
              <a:cs typeface="Times New Roman" pitchFamily="18" charset="0"/>
            </a:rPr>
            <a:t> Number</a:t>
          </a:r>
          <a:endParaRPr lang="en-IN" sz="1400">
            <a:solidFill>
              <a:schemeClr val="bg1"/>
            </a:solidFill>
            <a:latin typeface="Times New Roman" pitchFamily="18" charset="0"/>
            <a:cs typeface="Times New Roman" pitchFamily="18" charset="0"/>
          </a:endParaRPr>
        </a:p>
      </xdr:txBody>
    </xdr:sp>
    <xdr:clientData/>
  </xdr:oneCellAnchor>
  <xdr:oneCellAnchor>
    <xdr:from>
      <xdr:col>7</xdr:col>
      <xdr:colOff>135950</xdr:colOff>
      <xdr:row>11</xdr:row>
      <xdr:rowOff>150405</xdr:rowOff>
    </xdr:from>
    <xdr:ext cx="1406219" cy="298800"/>
    <xdr:sp macro="" textlink="">
      <xdr:nvSpPr>
        <xdr:cNvPr id="94" name="TextBox 93"/>
        <xdr:cNvSpPr txBox="1"/>
      </xdr:nvSpPr>
      <xdr:spPr>
        <a:xfrm>
          <a:off x="4403150" y="2199338"/>
          <a:ext cx="140621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Total</a:t>
          </a:r>
          <a:r>
            <a:rPr lang="en-IN" sz="1400" baseline="0">
              <a:solidFill>
                <a:schemeClr val="bg1"/>
              </a:solidFill>
              <a:effectLst/>
              <a:latin typeface="Times New Roman" pitchFamily="18" charset="0"/>
              <a:ea typeface="+mn-ea"/>
              <a:cs typeface="Times New Roman" pitchFamily="18" charset="0"/>
            </a:rPr>
            <a:t> Employees</a:t>
          </a:r>
          <a:endParaRPr lang="en-IN" sz="1400">
            <a:solidFill>
              <a:schemeClr val="bg1"/>
            </a:solidFill>
            <a:latin typeface="Times New Roman" pitchFamily="18" charset="0"/>
            <a:cs typeface="Times New Roman" pitchFamily="18" charset="0"/>
          </a:endParaRPr>
        </a:p>
      </xdr:txBody>
    </xdr:sp>
    <xdr:clientData/>
  </xdr:oneCellAnchor>
  <xdr:oneCellAnchor>
    <xdr:from>
      <xdr:col>6</xdr:col>
      <xdr:colOff>132865</xdr:colOff>
      <xdr:row>15</xdr:row>
      <xdr:rowOff>5172</xdr:rowOff>
    </xdr:from>
    <xdr:ext cx="553613" cy="298800"/>
    <xdr:sp macro="" textlink="">
      <xdr:nvSpPr>
        <xdr:cNvPr id="95" name="TextBox 94"/>
        <xdr:cNvSpPr txBox="1"/>
      </xdr:nvSpPr>
      <xdr:spPr>
        <a:xfrm>
          <a:off x="3790465" y="2799172"/>
          <a:ext cx="55361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Male</a:t>
          </a:r>
          <a:endParaRPr lang="en-IN" sz="1400">
            <a:solidFill>
              <a:schemeClr val="bg1"/>
            </a:solidFill>
            <a:latin typeface="Times New Roman" pitchFamily="18" charset="0"/>
            <a:cs typeface="Times New Roman" pitchFamily="18" charset="0"/>
          </a:endParaRPr>
        </a:p>
      </xdr:txBody>
    </xdr:sp>
    <xdr:clientData/>
  </xdr:oneCellAnchor>
  <xdr:oneCellAnchor>
    <xdr:from>
      <xdr:col>8</xdr:col>
      <xdr:colOff>470746</xdr:colOff>
      <xdr:row>14</xdr:row>
      <xdr:rowOff>181279</xdr:rowOff>
    </xdr:from>
    <xdr:ext cx="713144" cy="298800"/>
    <xdr:sp macro="" textlink="">
      <xdr:nvSpPr>
        <xdr:cNvPr id="96" name="TextBox 95"/>
        <xdr:cNvSpPr txBox="1"/>
      </xdr:nvSpPr>
      <xdr:spPr>
        <a:xfrm>
          <a:off x="5347546" y="2789012"/>
          <a:ext cx="71314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Female</a:t>
          </a:r>
          <a:endParaRPr lang="en-IN" sz="1400">
            <a:solidFill>
              <a:schemeClr val="bg1"/>
            </a:solidFill>
            <a:latin typeface="Times New Roman" pitchFamily="18" charset="0"/>
            <a:cs typeface="Times New Roman" pitchFamily="18" charset="0"/>
          </a:endParaRPr>
        </a:p>
      </xdr:txBody>
    </xdr:sp>
    <xdr:clientData/>
  </xdr:oneCellAnchor>
  <xdr:twoCellAnchor>
    <xdr:from>
      <xdr:col>6</xdr:col>
      <xdr:colOff>114300</xdr:colOff>
      <xdr:row>16</xdr:row>
      <xdr:rowOff>87083</xdr:rowOff>
    </xdr:from>
    <xdr:to>
      <xdr:col>7</xdr:col>
      <xdr:colOff>576943</xdr:colOff>
      <xdr:row>20</xdr:row>
      <xdr:rowOff>153608</xdr:rowOff>
    </xdr:to>
    <xdr:graphicFrame macro="">
      <xdr:nvGraphicFramePr>
        <xdr:cNvPr id="97" name="Chart 9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509330</xdr:colOff>
      <xdr:row>16</xdr:row>
      <xdr:rowOff>99506</xdr:rowOff>
    </xdr:from>
    <xdr:to>
      <xdr:col>10</xdr:col>
      <xdr:colOff>257122</xdr:colOff>
      <xdr:row>20</xdr:row>
      <xdr:rowOff>123371</xdr:rowOff>
    </xdr:to>
    <xdr:graphicFrame macro="">
      <xdr:nvGraphicFramePr>
        <xdr:cNvPr id="98" name="Chart 9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7</xdr:col>
      <xdr:colOff>77229</xdr:colOff>
      <xdr:row>15</xdr:row>
      <xdr:rowOff>41456</xdr:rowOff>
    </xdr:from>
    <xdr:ext cx="513730" cy="298800"/>
    <xdr:sp macro="" textlink="PivotTable!K20">
      <xdr:nvSpPr>
        <xdr:cNvPr id="99" name="TextBox 98"/>
        <xdr:cNvSpPr txBox="1"/>
      </xdr:nvSpPr>
      <xdr:spPr>
        <a:xfrm>
          <a:off x="4344429" y="2835456"/>
          <a:ext cx="5137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4B50305-7EC7-4DEF-A3D1-2989D9B8871B}" type="TxLink">
            <a:rPr lang="en-IN" sz="1400">
              <a:solidFill>
                <a:schemeClr val="bg1"/>
              </a:solidFill>
              <a:latin typeface="Times New Roman" pitchFamily="18" charset="0"/>
              <a:cs typeface="Times New Roman" pitchFamily="18" charset="0"/>
            </a:rPr>
            <a:pPr/>
            <a:t>48%</a:t>
          </a:fld>
          <a:endParaRPr lang="en-IN" sz="1400">
            <a:solidFill>
              <a:schemeClr val="bg1"/>
            </a:solidFill>
            <a:latin typeface="Times New Roman" pitchFamily="18" charset="0"/>
            <a:cs typeface="Times New Roman" pitchFamily="18" charset="0"/>
          </a:endParaRPr>
        </a:p>
      </xdr:txBody>
    </xdr:sp>
    <xdr:clientData/>
  </xdr:oneCellAnchor>
  <xdr:oneCellAnchor>
    <xdr:from>
      <xdr:col>9</xdr:col>
      <xdr:colOff>447765</xdr:colOff>
      <xdr:row>15</xdr:row>
      <xdr:rowOff>8316</xdr:rowOff>
    </xdr:from>
    <xdr:ext cx="513730" cy="298800"/>
    <xdr:sp macro="" textlink="PivotTable!K21">
      <xdr:nvSpPr>
        <xdr:cNvPr id="100" name="TextBox 99"/>
        <xdr:cNvSpPr txBox="1"/>
      </xdr:nvSpPr>
      <xdr:spPr>
        <a:xfrm>
          <a:off x="5934165" y="2802316"/>
          <a:ext cx="5137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809FCAE-61E0-41EC-85E0-3E8DC1505229}" type="TxLink">
            <a:rPr lang="en-IN" sz="1400">
              <a:solidFill>
                <a:schemeClr val="bg1"/>
              </a:solidFill>
              <a:latin typeface="Times New Roman" pitchFamily="18" charset="0"/>
              <a:cs typeface="Times New Roman" pitchFamily="18" charset="0"/>
            </a:rPr>
            <a:pPr/>
            <a:t>52%</a:t>
          </a:fld>
          <a:endParaRPr lang="en-IN" sz="1400">
            <a:solidFill>
              <a:schemeClr val="bg1"/>
            </a:solidFill>
            <a:latin typeface="Times New Roman" pitchFamily="18" charset="0"/>
            <a:cs typeface="Times New Roman" pitchFamily="18" charset="0"/>
          </a:endParaRPr>
        </a:p>
      </xdr:txBody>
    </xdr:sp>
    <xdr:clientData/>
  </xdr:oneCellAnchor>
  <xdr:oneCellAnchor>
    <xdr:from>
      <xdr:col>0</xdr:col>
      <xdr:colOff>364459</xdr:colOff>
      <xdr:row>29</xdr:row>
      <xdr:rowOff>127757</xdr:rowOff>
    </xdr:from>
    <xdr:ext cx="743152" cy="298800"/>
    <xdr:sp macro="" textlink="">
      <xdr:nvSpPr>
        <xdr:cNvPr id="102" name="TextBox 101"/>
        <xdr:cNvSpPr txBox="1"/>
      </xdr:nvSpPr>
      <xdr:spPr>
        <a:xfrm>
          <a:off x="364459" y="5529490"/>
          <a:ext cx="74315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latin typeface="Times New Roman" pitchFamily="18" charset="0"/>
              <a:cs typeface="Times New Roman" pitchFamily="18" charset="0"/>
            </a:rPr>
            <a:t>Remote</a:t>
          </a:r>
        </a:p>
      </xdr:txBody>
    </xdr:sp>
    <xdr:clientData/>
  </xdr:oneCellAnchor>
  <xdr:twoCellAnchor>
    <xdr:from>
      <xdr:col>10</xdr:col>
      <xdr:colOff>596205</xdr:colOff>
      <xdr:row>10</xdr:row>
      <xdr:rowOff>117897</xdr:rowOff>
    </xdr:from>
    <xdr:to>
      <xdr:col>14</xdr:col>
      <xdr:colOff>497145</xdr:colOff>
      <xdr:row>19</xdr:row>
      <xdr:rowOff>90683</xdr:rowOff>
    </xdr:to>
    <xdr:graphicFrame macro="">
      <xdr:nvGraphicFramePr>
        <xdr:cNvPr id="103" name="Chart 10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11</xdr:col>
      <xdr:colOff>454056</xdr:colOff>
      <xdr:row>7</xdr:row>
      <xdr:rowOff>119441</xdr:rowOff>
    </xdr:from>
    <xdr:ext cx="1316066" cy="298800"/>
    <xdr:sp macro="" textlink="">
      <xdr:nvSpPr>
        <xdr:cNvPr id="105" name="TextBox 104"/>
        <xdr:cNvSpPr txBox="1"/>
      </xdr:nvSpPr>
      <xdr:spPr>
        <a:xfrm>
          <a:off x="7159656" y="1423308"/>
          <a:ext cx="131606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Leave</a:t>
          </a:r>
          <a:r>
            <a:rPr lang="en-IN" sz="1400" baseline="0">
              <a:solidFill>
                <a:schemeClr val="bg1"/>
              </a:solidFill>
              <a:effectLst/>
              <a:latin typeface="Times New Roman" pitchFamily="18" charset="0"/>
              <a:ea typeface="+mn-ea"/>
              <a:cs typeface="Times New Roman" pitchFamily="18" charset="0"/>
            </a:rPr>
            <a:t> Tracking</a:t>
          </a:r>
          <a:endParaRPr lang="en-IN" sz="1400">
            <a:solidFill>
              <a:schemeClr val="bg1"/>
            </a:solidFill>
            <a:latin typeface="Times New Roman" pitchFamily="18" charset="0"/>
            <a:cs typeface="Times New Roman" pitchFamily="18" charset="0"/>
          </a:endParaRPr>
        </a:p>
      </xdr:txBody>
    </xdr:sp>
    <xdr:clientData/>
  </xdr:oneCellAnchor>
  <xdr:twoCellAnchor>
    <xdr:from>
      <xdr:col>15</xdr:col>
      <xdr:colOff>534610</xdr:colOff>
      <xdr:row>12</xdr:row>
      <xdr:rowOff>180217</xdr:rowOff>
    </xdr:from>
    <xdr:to>
      <xdr:col>19</xdr:col>
      <xdr:colOff>424936</xdr:colOff>
      <xdr:row>20</xdr:row>
      <xdr:rowOff>87689</xdr:rowOff>
    </xdr:to>
    <xdr:graphicFrame macro="">
      <xdr:nvGraphicFramePr>
        <xdr:cNvPr id="106" name="Chart 10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17</xdr:col>
      <xdr:colOff>172509</xdr:colOff>
      <xdr:row>9</xdr:row>
      <xdr:rowOff>78921</xdr:rowOff>
    </xdr:from>
    <xdr:ext cx="703334" cy="298800"/>
    <xdr:sp macro="" textlink="">
      <xdr:nvSpPr>
        <xdr:cNvPr id="107" name="TextBox 106"/>
        <xdr:cNvSpPr txBox="1"/>
      </xdr:nvSpPr>
      <xdr:spPr>
        <a:xfrm>
          <a:off x="10535709" y="1755321"/>
          <a:ext cx="70333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effectLst/>
              <a:latin typeface="Times New Roman" pitchFamily="18" charset="0"/>
              <a:ea typeface="+mn-ea"/>
              <a:cs typeface="Times New Roman" pitchFamily="18" charset="0"/>
            </a:rPr>
            <a:t>Region</a:t>
          </a:r>
          <a:endParaRPr lang="en-IN" sz="1400">
            <a:solidFill>
              <a:schemeClr val="bg1"/>
            </a:solidFill>
            <a:latin typeface="Times New Roman" pitchFamily="18" charset="0"/>
            <a:cs typeface="Times New Roman" pitchFamily="18" charset="0"/>
          </a:endParaRPr>
        </a:p>
      </xdr:txBody>
    </xdr:sp>
    <xdr:clientData/>
  </xdr:oneCellAnchor>
  <xdr:oneCellAnchor>
    <xdr:from>
      <xdr:col>16</xdr:col>
      <xdr:colOff>509575</xdr:colOff>
      <xdr:row>6</xdr:row>
      <xdr:rowOff>79769</xdr:rowOff>
    </xdr:from>
    <xdr:ext cx="1429292" cy="298800"/>
    <xdr:sp macro="" textlink="">
      <xdr:nvSpPr>
        <xdr:cNvPr id="108" name="TextBox 107"/>
        <xdr:cNvSpPr txBox="1"/>
      </xdr:nvSpPr>
      <xdr:spPr>
        <a:xfrm>
          <a:off x="10263175" y="1197369"/>
          <a:ext cx="142929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aseline="0">
              <a:solidFill>
                <a:schemeClr val="bg1"/>
              </a:solidFill>
              <a:latin typeface="Times New Roman" pitchFamily="18" charset="0"/>
              <a:cs typeface="Times New Roman" pitchFamily="18" charset="0"/>
            </a:rPr>
            <a:t>Average Rating</a:t>
          </a:r>
          <a:endParaRPr lang="en-US" sz="1400">
            <a:solidFill>
              <a:schemeClr val="bg1"/>
            </a:solidFill>
            <a:latin typeface="Times New Roman" pitchFamily="18" charset="0"/>
            <a:cs typeface="Times New Roman" pitchFamily="18" charset="0"/>
          </a:endParaRPr>
        </a:p>
      </xdr:txBody>
    </xdr:sp>
    <xdr:clientData/>
  </xdr:oneCellAnchor>
  <xdr:oneCellAnchor>
    <xdr:from>
      <xdr:col>17</xdr:col>
      <xdr:colOff>199933</xdr:colOff>
      <xdr:row>4</xdr:row>
      <xdr:rowOff>7194</xdr:rowOff>
    </xdr:from>
    <xdr:ext cx="646733" cy="505203"/>
    <xdr:sp macro="" textlink="PivotTable!X16">
      <xdr:nvSpPr>
        <xdr:cNvPr id="109" name="TextBox 108"/>
        <xdr:cNvSpPr txBox="1"/>
      </xdr:nvSpPr>
      <xdr:spPr>
        <a:xfrm>
          <a:off x="10563133" y="752261"/>
          <a:ext cx="646733"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22C6563-4016-42E4-87B1-B059510B254F}" type="TxLink">
            <a:rPr lang="en-IN" sz="2800">
              <a:solidFill>
                <a:schemeClr val="bg1"/>
              </a:solidFill>
              <a:latin typeface="Times New Roman" pitchFamily="18" charset="0"/>
              <a:cs typeface="Times New Roman" pitchFamily="18" charset="0"/>
            </a:rPr>
            <a:pPr/>
            <a:t>2.6</a:t>
          </a:fld>
          <a:endParaRPr lang="en-IN" sz="2800">
            <a:solidFill>
              <a:schemeClr val="bg1"/>
            </a:solidFill>
            <a:latin typeface="Times New Roman" pitchFamily="18" charset="0"/>
            <a:cs typeface="Times New Roman" pitchFamily="18" charset="0"/>
          </a:endParaRPr>
        </a:p>
      </xdr:txBody>
    </xdr:sp>
    <xdr:clientData/>
  </xdr:oneCellAnchor>
  <xdr:oneCellAnchor>
    <xdr:from>
      <xdr:col>16</xdr:col>
      <xdr:colOff>394669</xdr:colOff>
      <xdr:row>1</xdr:row>
      <xdr:rowOff>142662</xdr:rowOff>
    </xdr:from>
    <xdr:ext cx="1637332" cy="298800"/>
    <xdr:sp macro="" textlink="">
      <xdr:nvSpPr>
        <xdr:cNvPr id="110" name="TextBox 109"/>
        <xdr:cNvSpPr txBox="1"/>
      </xdr:nvSpPr>
      <xdr:spPr>
        <a:xfrm>
          <a:off x="10148269" y="328929"/>
          <a:ext cx="163733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bg1"/>
              </a:solidFill>
              <a:latin typeface="Times New Roman" pitchFamily="18" charset="0"/>
              <a:cs typeface="Times New Roman" pitchFamily="18" charset="0"/>
            </a:rPr>
            <a:t>Performance</a:t>
          </a:r>
          <a:r>
            <a:rPr lang="en-US" sz="1400" baseline="0">
              <a:solidFill>
                <a:schemeClr val="bg1"/>
              </a:solidFill>
              <a:latin typeface="Times New Roman" pitchFamily="18" charset="0"/>
              <a:cs typeface="Times New Roman" pitchFamily="18" charset="0"/>
            </a:rPr>
            <a:t> Rating</a:t>
          </a:r>
          <a:endParaRPr lang="en-US" sz="1400">
            <a:solidFill>
              <a:schemeClr val="bg1"/>
            </a:solidFill>
            <a:latin typeface="Times New Roman" pitchFamily="18" charset="0"/>
            <a:cs typeface="Times New Roman" pitchFamily="18" charset="0"/>
          </a:endParaRPr>
        </a:p>
      </xdr:txBody>
    </xdr:sp>
    <xdr:clientData/>
  </xdr:oneCellAnchor>
  <xdr:twoCellAnchor>
    <xdr:from>
      <xdr:col>0</xdr:col>
      <xdr:colOff>218925</xdr:colOff>
      <xdr:row>1</xdr:row>
      <xdr:rowOff>53218</xdr:rowOff>
    </xdr:from>
    <xdr:to>
      <xdr:col>6</xdr:col>
      <xdr:colOff>599925</xdr:colOff>
      <xdr:row>5</xdr:row>
      <xdr:rowOff>8466</xdr:rowOff>
    </xdr:to>
    <xdr:sp macro="" textlink="">
      <xdr:nvSpPr>
        <xdr:cNvPr id="11" name="Rounded Rectangle 10"/>
        <xdr:cNvSpPr/>
      </xdr:nvSpPr>
      <xdr:spPr>
        <a:xfrm>
          <a:off x="218925" y="239485"/>
          <a:ext cx="4038600" cy="700314"/>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275772</xdr:colOff>
      <xdr:row>1</xdr:row>
      <xdr:rowOff>117323</xdr:rowOff>
    </xdr:from>
    <xdr:ext cx="3918857" cy="298800"/>
    <xdr:sp macro="" textlink="">
      <xdr:nvSpPr>
        <xdr:cNvPr id="111" name="TextBox 110"/>
        <xdr:cNvSpPr txBox="1"/>
      </xdr:nvSpPr>
      <xdr:spPr>
        <a:xfrm>
          <a:off x="275772" y="303590"/>
          <a:ext cx="391885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solidFill>
                <a:schemeClr val="bg1"/>
              </a:solidFill>
              <a:latin typeface="Times New Roman" pitchFamily="18" charset="0"/>
              <a:cs typeface="Times New Roman" pitchFamily="18" charset="0"/>
            </a:rPr>
            <a:t>HR</a:t>
          </a:r>
          <a:r>
            <a:rPr lang="en-US" sz="1400" b="1" baseline="0">
              <a:solidFill>
                <a:schemeClr val="bg1"/>
              </a:solidFill>
              <a:latin typeface="Times New Roman" pitchFamily="18" charset="0"/>
              <a:cs typeface="Times New Roman" pitchFamily="18" charset="0"/>
            </a:rPr>
            <a:t> Dashboard</a:t>
          </a:r>
          <a:endParaRPr lang="en-US" sz="1400" b="1">
            <a:solidFill>
              <a:schemeClr val="bg1"/>
            </a:solidFill>
            <a:latin typeface="Times New Roman" pitchFamily="18" charset="0"/>
            <a:cs typeface="Times New Roman" pitchFamily="18" charset="0"/>
          </a:endParaRPr>
        </a:p>
      </xdr:txBody>
    </xdr:sp>
    <xdr:clientData/>
  </xdr:oneCellAnchor>
  <xdr:oneCellAnchor>
    <xdr:from>
      <xdr:col>0</xdr:col>
      <xdr:colOff>245535</xdr:colOff>
      <xdr:row>3</xdr:row>
      <xdr:rowOff>10886</xdr:rowOff>
    </xdr:from>
    <xdr:ext cx="4071257" cy="298800"/>
    <xdr:sp macro="" textlink="">
      <xdr:nvSpPr>
        <xdr:cNvPr id="112" name="TextBox 111"/>
        <xdr:cNvSpPr txBox="1"/>
      </xdr:nvSpPr>
      <xdr:spPr>
        <a:xfrm>
          <a:off x="245535" y="569686"/>
          <a:ext cx="407125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solidFill>
                <a:schemeClr val="bg1"/>
              </a:solidFill>
              <a:latin typeface="Times New Roman" pitchFamily="18" charset="0"/>
              <a:cs typeface="Times New Roman" pitchFamily="18" charset="0"/>
            </a:rPr>
            <a:t>Employee</a:t>
          </a:r>
          <a:r>
            <a:rPr lang="en-US" sz="1400" b="1" baseline="0">
              <a:solidFill>
                <a:schemeClr val="bg1"/>
              </a:solidFill>
              <a:latin typeface="Times New Roman" pitchFamily="18" charset="0"/>
              <a:cs typeface="Times New Roman" pitchFamily="18" charset="0"/>
            </a:rPr>
            <a:t> Performance and KPIs</a:t>
          </a:r>
          <a:endParaRPr lang="en-US" sz="1400" b="1">
            <a:solidFill>
              <a:schemeClr val="bg1"/>
            </a:solidFill>
            <a:latin typeface="Times New Roman" pitchFamily="18" charset="0"/>
            <a:cs typeface="Times New Roman" pitchFamily="18" charset="0"/>
          </a:endParaRPr>
        </a:p>
      </xdr:txBody>
    </xdr:sp>
    <xdr:clientData/>
  </xdr:oneCellAnchor>
  <xdr:twoCellAnchor editAs="oneCell">
    <xdr:from>
      <xdr:col>7</xdr:col>
      <xdr:colOff>188383</xdr:colOff>
      <xdr:row>1</xdr:row>
      <xdr:rowOff>81492</xdr:rowOff>
    </xdr:from>
    <xdr:to>
      <xdr:col>10</xdr:col>
      <xdr:colOff>188383</xdr:colOff>
      <xdr:row>5</xdr:row>
      <xdr:rowOff>99182</xdr:rowOff>
    </xdr:to>
    <mc:AlternateContent xmlns:mc="http://schemas.openxmlformats.org/markup-compatibility/2006" xmlns:a14="http://schemas.microsoft.com/office/drawing/2010/main">
      <mc:Choice Requires="a14">
        <xdr:graphicFrame macro="">
          <xdr:nvGraphicFramePr>
            <xdr:cNvPr id="11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55583" y="267759"/>
              <a:ext cx="1828800" cy="76275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351367</xdr:colOff>
      <xdr:row>1</xdr:row>
      <xdr:rowOff>88449</xdr:rowOff>
    </xdr:from>
    <xdr:to>
      <xdr:col>15</xdr:col>
      <xdr:colOff>446617</xdr:colOff>
      <xdr:row>6</xdr:row>
      <xdr:rowOff>153762</xdr:rowOff>
    </xdr:to>
    <mc:AlternateContent xmlns:mc="http://schemas.openxmlformats.org/markup-compatibility/2006" xmlns:a14="http://schemas.microsoft.com/office/drawing/2010/main">
      <mc:Choice Requires="a14">
        <xdr:graphicFrame macro="">
          <xdr:nvGraphicFramePr>
            <xdr:cNvPr id="116"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447367" y="274716"/>
              <a:ext cx="3143250" cy="99664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5</xdr:col>
      <xdr:colOff>389468</xdr:colOff>
      <xdr:row>22</xdr:row>
      <xdr:rowOff>179069</xdr:rowOff>
    </xdr:from>
    <xdr:ext cx="2760132" cy="416653"/>
    <xdr:sp macro="" textlink="">
      <xdr:nvSpPr>
        <xdr:cNvPr id="117" name="TextBox 116"/>
        <xdr:cNvSpPr txBox="1"/>
      </xdr:nvSpPr>
      <xdr:spPr>
        <a:xfrm>
          <a:off x="3437468" y="4276936"/>
          <a:ext cx="2760132" cy="416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effectLst/>
              <a:latin typeface="Times New Roman" pitchFamily="18" charset="0"/>
              <a:ea typeface="+mn-ea"/>
              <a:cs typeface="Times New Roman" pitchFamily="18" charset="0"/>
            </a:rPr>
            <a:t>No. of Employees According to Age</a:t>
          </a:r>
          <a:r>
            <a:rPr lang="en-IN" sz="1100" baseline="0">
              <a:solidFill>
                <a:schemeClr val="bg1"/>
              </a:solidFill>
              <a:effectLst/>
              <a:latin typeface="Times New Roman" pitchFamily="18" charset="0"/>
              <a:ea typeface="+mn-ea"/>
              <a:cs typeface="Times New Roman" pitchFamily="18" charset="0"/>
            </a:rPr>
            <a:t> and Gender</a:t>
          </a:r>
          <a:endParaRPr lang="en-IN" sz="1100">
            <a:solidFill>
              <a:schemeClr val="bg1"/>
            </a:solidFill>
            <a:latin typeface="Times New Roman" pitchFamily="18" charset="0"/>
            <a:cs typeface="Times New Roman" pitchFamily="18" charset="0"/>
          </a:endParaRPr>
        </a:p>
      </xdr:txBody>
    </xdr:sp>
    <xdr:clientData/>
  </xdr:oneCellAnchor>
  <xdr:oneCellAnchor>
    <xdr:from>
      <xdr:col>16</xdr:col>
      <xdr:colOff>191468</xdr:colOff>
      <xdr:row>2</xdr:row>
      <xdr:rowOff>184996</xdr:rowOff>
    </xdr:from>
    <xdr:ext cx="2104208" cy="254493"/>
    <xdr:sp macro="" textlink="">
      <xdr:nvSpPr>
        <xdr:cNvPr id="118" name="TextBox 117"/>
        <xdr:cNvSpPr txBox="1"/>
      </xdr:nvSpPr>
      <xdr:spPr>
        <a:xfrm>
          <a:off x="9945068" y="557529"/>
          <a:ext cx="210420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latin typeface="Times New Roman" pitchFamily="18" charset="0"/>
              <a:cs typeface="Times New Roman" pitchFamily="18" charset="0"/>
            </a:rPr>
            <a:t>Average Performance Rating</a:t>
          </a:r>
        </a:p>
      </xdr:txBody>
    </xdr:sp>
    <xdr:clientData/>
  </xdr:oneCellAnchor>
  <xdr:oneCellAnchor>
    <xdr:from>
      <xdr:col>16</xdr:col>
      <xdr:colOff>20109</xdr:colOff>
      <xdr:row>11</xdr:row>
      <xdr:rowOff>19655</xdr:rowOff>
    </xdr:from>
    <xdr:ext cx="2206624" cy="254493"/>
    <xdr:sp macro="" textlink="">
      <xdr:nvSpPr>
        <xdr:cNvPr id="119" name="TextBox 118"/>
        <xdr:cNvSpPr txBox="1"/>
      </xdr:nvSpPr>
      <xdr:spPr>
        <a:xfrm>
          <a:off x="9773709" y="2068588"/>
          <a:ext cx="2206624"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solidFill>
              <a:latin typeface="Times New Roman" pitchFamily="18" charset="0"/>
              <a:cs typeface="Times New Roman" pitchFamily="18" charset="0"/>
            </a:rPr>
            <a:t>Employee per Region</a:t>
          </a:r>
        </a:p>
      </xdr:txBody>
    </xdr:sp>
    <xdr:clientData/>
  </xdr:oneCellAnchor>
  <xdr:oneCellAnchor>
    <xdr:from>
      <xdr:col>0</xdr:col>
      <xdr:colOff>248919</xdr:colOff>
      <xdr:row>19</xdr:row>
      <xdr:rowOff>143933</xdr:rowOff>
    </xdr:from>
    <xdr:ext cx="2451947" cy="254493"/>
    <xdr:sp macro="" textlink="">
      <xdr:nvSpPr>
        <xdr:cNvPr id="120" name="TextBox 119"/>
        <xdr:cNvSpPr txBox="1"/>
      </xdr:nvSpPr>
      <xdr:spPr>
        <a:xfrm>
          <a:off x="248919" y="3683000"/>
          <a:ext cx="24519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effectLst/>
              <a:latin typeface="Times New Roman" pitchFamily="18" charset="0"/>
              <a:ea typeface="+mn-ea"/>
              <a:cs typeface="Times New Roman" pitchFamily="18" charset="0"/>
            </a:rPr>
            <a:t>Employees by Workplace</a:t>
          </a:r>
          <a:endParaRPr lang="en-IN" sz="1100">
            <a:solidFill>
              <a:schemeClr val="bg1"/>
            </a:solidFill>
            <a:latin typeface="Times New Roman" pitchFamily="18" charset="0"/>
            <a:cs typeface="Times New Roman" pitchFamily="18" charset="0"/>
          </a:endParaRPr>
        </a:p>
      </xdr:txBody>
    </xdr:sp>
    <xdr:clientData/>
  </xdr:oneCellAnchor>
  <xdr:oneCellAnchor>
    <xdr:from>
      <xdr:col>10</xdr:col>
      <xdr:colOff>406400</xdr:colOff>
      <xdr:row>22</xdr:row>
      <xdr:rowOff>122606</xdr:rowOff>
    </xdr:from>
    <xdr:ext cx="2379133" cy="254493"/>
    <xdr:sp macro="" textlink="">
      <xdr:nvSpPr>
        <xdr:cNvPr id="121" name="TextBox 120"/>
        <xdr:cNvSpPr txBox="1"/>
      </xdr:nvSpPr>
      <xdr:spPr>
        <a:xfrm>
          <a:off x="6502400" y="4220473"/>
          <a:ext cx="2379133"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solidFill>
              <a:effectLst/>
              <a:latin typeface="Times New Roman" pitchFamily="18" charset="0"/>
              <a:ea typeface="+mn-ea"/>
              <a:cs typeface="Times New Roman" pitchFamily="18" charset="0"/>
            </a:rPr>
            <a:t>Salary Amount</a:t>
          </a:r>
          <a:r>
            <a:rPr lang="en-IN" sz="1100" baseline="0">
              <a:solidFill>
                <a:schemeClr val="bg1"/>
              </a:solidFill>
              <a:effectLst/>
              <a:latin typeface="Times New Roman" pitchFamily="18" charset="0"/>
              <a:ea typeface="+mn-ea"/>
              <a:cs typeface="Times New Roman" pitchFamily="18" charset="0"/>
            </a:rPr>
            <a:t> by Job Title</a:t>
          </a:r>
          <a:endParaRPr lang="en-IN" sz="1100">
            <a:solidFill>
              <a:schemeClr val="bg1"/>
            </a:solidFill>
            <a:latin typeface="Times New Roman" pitchFamily="18" charset="0"/>
            <a:cs typeface="Times New Roman" pitchFamily="18" charset="0"/>
          </a:endParaRPr>
        </a:p>
      </xdr:txBody>
    </xdr:sp>
    <xdr:clientData/>
  </xdr:oneCellAnchor>
  <xdr:oneCellAnchor>
    <xdr:from>
      <xdr:col>11</xdr:col>
      <xdr:colOff>352456</xdr:colOff>
      <xdr:row>8</xdr:row>
      <xdr:rowOff>170241</xdr:rowOff>
    </xdr:from>
    <xdr:ext cx="1662611" cy="254493"/>
    <xdr:sp macro="" textlink="">
      <xdr:nvSpPr>
        <xdr:cNvPr id="122" name="TextBox 121"/>
        <xdr:cNvSpPr txBox="1"/>
      </xdr:nvSpPr>
      <xdr:spPr>
        <a:xfrm>
          <a:off x="7058056" y="1660374"/>
          <a:ext cx="166261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solidFill>
              <a:effectLst/>
              <a:latin typeface="Times New Roman" pitchFamily="18" charset="0"/>
              <a:ea typeface="+mn-ea"/>
              <a:cs typeface="Times New Roman" pitchFamily="18" charset="0"/>
            </a:rPr>
            <a:t>Leave Taken by Job</a:t>
          </a:r>
          <a:r>
            <a:rPr lang="en-IN" sz="1100" baseline="0">
              <a:solidFill>
                <a:schemeClr val="bg1"/>
              </a:solidFill>
              <a:effectLst/>
              <a:latin typeface="Times New Roman" pitchFamily="18" charset="0"/>
              <a:ea typeface="+mn-ea"/>
              <a:cs typeface="Times New Roman" pitchFamily="18" charset="0"/>
            </a:rPr>
            <a:t> Title</a:t>
          </a:r>
          <a:endParaRPr lang="en-IN" sz="1100">
            <a:solidFill>
              <a:schemeClr val="bg1"/>
            </a:solidFill>
            <a:latin typeface="Times New Roman" pitchFamily="18" charset="0"/>
            <a:cs typeface="Times New Roman"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SHU RAJ" refreshedDate="45991.833739120368" createdVersion="4" refreshedVersion="4" minRefreshableVersion="3" recordCount="50">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n v="4294"/>
    <x v="0"/>
    <x v="0"/>
    <n v="25"/>
    <x v="0"/>
    <x v="0"/>
    <x v="0"/>
    <x v="0"/>
    <s v="Luis Reynolds"/>
    <s v="2019-03-15"/>
    <x v="0"/>
    <x v="0"/>
    <n v="53700"/>
    <s v="C"/>
    <n v="1463"/>
    <s v="Health"/>
    <n v="1"/>
    <n v="1"/>
    <s v="Leadership Training"/>
    <x v="0"/>
    <s v="Certified Professional"/>
  </r>
  <r>
    <n v="9116"/>
    <x v="1"/>
    <x v="1"/>
    <n v="27"/>
    <x v="1"/>
    <x v="1"/>
    <x v="1"/>
    <x v="1"/>
    <s v="Ashley Simmons MD"/>
    <s v="2022-12-20"/>
    <x v="0"/>
    <x v="1"/>
    <n v="91091"/>
    <s v="B"/>
    <n v="1024"/>
    <s v="None"/>
    <n v="19"/>
    <n v="4"/>
    <s v="Excel Workshop"/>
    <x v="0"/>
    <s v="Certified Professional"/>
  </r>
  <r>
    <n v="5120"/>
    <x v="2"/>
    <x v="1"/>
    <n v="34"/>
    <x v="1"/>
    <x v="2"/>
    <x v="2"/>
    <x v="2"/>
    <s v="Cassandra Duncan"/>
    <s v="2022-08-10"/>
    <x v="0"/>
    <x v="2"/>
    <n v="57538"/>
    <s v="D"/>
    <n v="1674"/>
    <s v="None"/>
    <n v="8"/>
    <n v="1"/>
    <s v="None"/>
    <x v="1"/>
    <s v="Advanced Training"/>
  </r>
  <r>
    <n v="8071"/>
    <x v="3"/>
    <x v="0"/>
    <n v="41"/>
    <x v="2"/>
    <x v="2"/>
    <x v="0"/>
    <x v="3"/>
    <s v="Janet Harris"/>
    <s v="2024-09-03"/>
    <x v="1"/>
    <x v="0"/>
    <n v="62993"/>
    <s v="A"/>
    <n v="2695"/>
    <s v="Health + Dental"/>
    <n v="0"/>
    <n v="2"/>
    <s v="None"/>
    <x v="2"/>
    <s v="None"/>
  </r>
  <r>
    <n v="9351"/>
    <x v="4"/>
    <x v="1"/>
    <n v="56"/>
    <x v="3"/>
    <x v="0"/>
    <x v="0"/>
    <x v="2"/>
    <s v="Mr. Frank Clay"/>
    <s v="2019-03-14"/>
    <x v="1"/>
    <x v="1"/>
    <n v="45773"/>
    <s v="A"/>
    <n v="8776"/>
    <s v="Health"/>
    <n v="16"/>
    <n v="4"/>
    <s v="Leadership Training"/>
    <x v="2"/>
    <s v="None"/>
  </r>
  <r>
    <n v="2873"/>
    <x v="5"/>
    <x v="0"/>
    <n v="28"/>
    <x v="1"/>
    <x v="2"/>
    <x v="3"/>
    <x v="2"/>
    <s v="Dorothy Price"/>
    <s v="2017-01-23"/>
    <x v="0"/>
    <x v="1"/>
    <n v="96249"/>
    <s v="C"/>
    <n v="4826"/>
    <s v="Health + Dental"/>
    <n v="7"/>
    <n v="3"/>
    <s v="Leadership Training"/>
    <x v="3"/>
    <s v="Certified Professional"/>
  </r>
  <r>
    <n v="3540"/>
    <x v="6"/>
    <x v="0"/>
    <n v="20"/>
    <x v="0"/>
    <x v="1"/>
    <x v="2"/>
    <x v="2"/>
    <s v="Michele Sexton"/>
    <s v="2024-08-17"/>
    <x v="0"/>
    <x v="2"/>
    <n v="61596"/>
    <s v="C"/>
    <n v="8818"/>
    <s v="Health + Dental"/>
    <n v="4"/>
    <n v="2"/>
    <s v="Leadership Training"/>
    <x v="1"/>
    <s v="None"/>
  </r>
  <r>
    <n v="3653"/>
    <x v="7"/>
    <x v="0"/>
    <n v="58"/>
    <x v="3"/>
    <x v="3"/>
    <x v="1"/>
    <x v="4"/>
    <s v="Richard Schmidt"/>
    <s v="2014-12-09"/>
    <x v="0"/>
    <x v="2"/>
    <n v="97869"/>
    <s v="A"/>
    <n v="1966"/>
    <s v="Health"/>
    <n v="10"/>
    <n v="1"/>
    <s v="Leadership Training"/>
    <x v="0"/>
    <s v="Certified Professional"/>
  </r>
  <r>
    <n v="5587"/>
    <x v="8"/>
    <x v="0"/>
    <n v="44"/>
    <x v="2"/>
    <x v="3"/>
    <x v="2"/>
    <x v="2"/>
    <s v="Teresa Pearson"/>
    <s v="2021-06-28"/>
    <x v="0"/>
    <x v="0"/>
    <n v="81235"/>
    <s v="A"/>
    <n v="6553"/>
    <s v="None"/>
    <n v="16"/>
    <n v="2"/>
    <s v="None"/>
    <x v="1"/>
    <s v="Certified Professional"/>
  </r>
  <r>
    <n v="9554"/>
    <x v="9"/>
    <x v="0"/>
    <n v="29"/>
    <x v="1"/>
    <x v="1"/>
    <x v="2"/>
    <x v="3"/>
    <s v="Laura Hart"/>
    <s v="2018-05-20"/>
    <x v="0"/>
    <x v="1"/>
    <n v="87852"/>
    <s v="A"/>
    <n v="4980"/>
    <s v="Health + Dental"/>
    <n v="19"/>
    <n v="3"/>
    <s v="None"/>
    <x v="2"/>
    <s v="Certified Professional"/>
  </r>
  <r>
    <n v="6213"/>
    <x v="10"/>
    <x v="1"/>
    <n v="23"/>
    <x v="0"/>
    <x v="3"/>
    <x v="0"/>
    <x v="2"/>
    <s v="Andrea May"/>
    <s v="2017-02-13"/>
    <x v="1"/>
    <x v="1"/>
    <n v="59359"/>
    <s v="A"/>
    <n v="9449"/>
    <s v="Health + Dental"/>
    <n v="20"/>
    <n v="3"/>
    <s v="None"/>
    <x v="1"/>
    <s v="None"/>
  </r>
  <r>
    <n v="9105"/>
    <x v="11"/>
    <x v="1"/>
    <n v="30"/>
    <x v="1"/>
    <x v="0"/>
    <x v="1"/>
    <x v="0"/>
    <s v="Casey Martin"/>
    <s v="2024-05-05"/>
    <x v="1"/>
    <x v="2"/>
    <n v="81225"/>
    <s v="D"/>
    <n v="6202"/>
    <s v="Health + Dental"/>
    <n v="2"/>
    <n v="2"/>
    <s v="Excel Workshop"/>
    <x v="4"/>
    <s v="Certified Professional"/>
  </r>
  <r>
    <n v="9508"/>
    <x v="12"/>
    <x v="0"/>
    <n v="49"/>
    <x v="4"/>
    <x v="1"/>
    <x v="0"/>
    <x v="0"/>
    <s v="Amber Allen"/>
    <s v="2022-04-19"/>
    <x v="1"/>
    <x v="0"/>
    <n v="32788"/>
    <s v="D"/>
    <n v="4396"/>
    <s v="Health"/>
    <n v="13"/>
    <n v="5"/>
    <s v="None"/>
    <x v="3"/>
    <s v="Advanced Training"/>
  </r>
  <r>
    <n v="2436"/>
    <x v="13"/>
    <x v="1"/>
    <n v="60"/>
    <x v="3"/>
    <x v="4"/>
    <x v="0"/>
    <x v="3"/>
    <s v="Adam Johnson"/>
    <s v="2015-11-16"/>
    <x v="1"/>
    <x v="2"/>
    <n v="70452"/>
    <s v="D"/>
    <n v="9911"/>
    <s v="None"/>
    <n v="2"/>
    <n v="1"/>
    <s v="None"/>
    <x v="3"/>
    <s v="Certified Professional"/>
  </r>
  <r>
    <n v="4441"/>
    <x v="14"/>
    <x v="1"/>
    <n v="46"/>
    <x v="4"/>
    <x v="1"/>
    <x v="3"/>
    <x v="0"/>
    <s v="Nicole Dominguez"/>
    <s v="2023-09-09"/>
    <x v="0"/>
    <x v="1"/>
    <n v="33045"/>
    <s v="B"/>
    <n v="1456"/>
    <s v="None"/>
    <n v="16"/>
    <n v="3"/>
    <s v="Excel Workshop"/>
    <x v="3"/>
    <s v="None"/>
  </r>
  <r>
    <n v="5827"/>
    <x v="15"/>
    <x v="1"/>
    <n v="57"/>
    <x v="3"/>
    <x v="2"/>
    <x v="3"/>
    <x v="1"/>
    <s v="Andrew Best"/>
    <s v="2017-12-12"/>
    <x v="2"/>
    <x v="2"/>
    <n v="96429"/>
    <s v="C"/>
    <n v="4740"/>
    <s v="None"/>
    <n v="8"/>
    <n v="1"/>
    <s v="Excel Workshop"/>
    <x v="2"/>
    <s v="None"/>
  </r>
  <r>
    <n v="5184"/>
    <x v="16"/>
    <x v="0"/>
    <n v="24"/>
    <x v="0"/>
    <x v="1"/>
    <x v="2"/>
    <x v="2"/>
    <s v="Gabrielle Rodriguez"/>
    <s v="2017-03-10"/>
    <x v="2"/>
    <x v="2"/>
    <n v="33183"/>
    <s v="A"/>
    <n v="8114"/>
    <s v="None"/>
    <n v="4"/>
    <n v="2"/>
    <s v="Excel Workshop"/>
    <x v="4"/>
    <s v="Advanced Training"/>
  </r>
  <r>
    <n v="5874"/>
    <x v="3"/>
    <x v="0"/>
    <n v="35"/>
    <x v="1"/>
    <x v="4"/>
    <x v="3"/>
    <x v="0"/>
    <s v="Allison Harvey"/>
    <s v="2019-03-04"/>
    <x v="2"/>
    <x v="0"/>
    <n v="75065"/>
    <s v="C"/>
    <n v="7123"/>
    <s v="None"/>
    <n v="20"/>
    <n v="2"/>
    <s v="None"/>
    <x v="0"/>
    <s v="Advanced Training"/>
  </r>
  <r>
    <n v="9834"/>
    <x v="17"/>
    <x v="1"/>
    <n v="41"/>
    <x v="2"/>
    <x v="1"/>
    <x v="1"/>
    <x v="4"/>
    <s v="Tristan Mejia"/>
    <s v="2022-11-20"/>
    <x v="0"/>
    <x v="2"/>
    <n v="32877"/>
    <s v="C"/>
    <n v="6432"/>
    <s v="Health"/>
    <n v="11"/>
    <n v="1"/>
    <s v="None"/>
    <x v="0"/>
    <s v="None"/>
  </r>
  <r>
    <n v="5096"/>
    <x v="18"/>
    <x v="1"/>
    <n v="36"/>
    <x v="2"/>
    <x v="1"/>
    <x v="4"/>
    <x v="3"/>
    <s v="Mary Welch"/>
    <s v="2021-03-02"/>
    <x v="0"/>
    <x v="1"/>
    <n v="46811"/>
    <s v="D"/>
    <n v="1567"/>
    <s v="None"/>
    <n v="7"/>
    <n v="3"/>
    <s v="Excel Workshop"/>
    <x v="0"/>
    <s v="Advanced Training"/>
  </r>
  <r>
    <n v="2263"/>
    <x v="19"/>
    <x v="1"/>
    <n v="31"/>
    <x v="1"/>
    <x v="3"/>
    <x v="2"/>
    <x v="1"/>
    <s v="Douglas Miles"/>
    <s v="2021-08-01"/>
    <x v="1"/>
    <x v="1"/>
    <n v="87538"/>
    <s v="C"/>
    <n v="3588"/>
    <s v="Health + Dental"/>
    <n v="11"/>
    <n v="5"/>
    <s v="Excel Workshop"/>
    <x v="2"/>
    <s v="None"/>
  </r>
  <r>
    <n v="6505"/>
    <x v="20"/>
    <x v="0"/>
    <n v="28"/>
    <x v="1"/>
    <x v="0"/>
    <x v="1"/>
    <x v="4"/>
    <s v="Jessica Fleming"/>
    <s v="2015-08-14"/>
    <x v="0"/>
    <x v="1"/>
    <n v="73002"/>
    <s v="C"/>
    <n v="6296"/>
    <s v="Health"/>
    <n v="2"/>
    <n v="5"/>
    <s v="Excel Workshop"/>
    <x v="1"/>
    <s v="Certified Professional"/>
  </r>
  <r>
    <n v="8626"/>
    <x v="21"/>
    <x v="1"/>
    <n v="37"/>
    <x v="2"/>
    <x v="3"/>
    <x v="1"/>
    <x v="3"/>
    <s v="Christine Lee"/>
    <s v="2015-10-21"/>
    <x v="2"/>
    <x v="2"/>
    <n v="41653"/>
    <s v="D"/>
    <n v="9236"/>
    <s v="None"/>
    <n v="13"/>
    <n v="1"/>
    <s v="Excel Workshop"/>
    <x v="0"/>
    <s v="None"/>
  </r>
  <r>
    <n v="5979"/>
    <x v="22"/>
    <x v="0"/>
    <n v="31"/>
    <x v="1"/>
    <x v="0"/>
    <x v="0"/>
    <x v="2"/>
    <s v="Mario Smith DVM"/>
    <s v="2015-03-14"/>
    <x v="1"/>
    <x v="1"/>
    <n v="67582"/>
    <s v="A"/>
    <n v="1375"/>
    <s v="Health"/>
    <n v="20"/>
    <n v="3"/>
    <s v="Excel Workshop"/>
    <x v="1"/>
    <s v="None"/>
  </r>
  <r>
    <n v="3104"/>
    <x v="23"/>
    <x v="0"/>
    <n v="23"/>
    <x v="0"/>
    <x v="3"/>
    <x v="1"/>
    <x v="1"/>
    <s v="Joseph Francis"/>
    <s v="2024-05-22"/>
    <x v="2"/>
    <x v="1"/>
    <n v="37351"/>
    <s v="D"/>
    <n v="7858"/>
    <s v="Health + Dental"/>
    <n v="18"/>
    <n v="2"/>
    <s v="Leadership Training"/>
    <x v="1"/>
    <s v="Advanced Training"/>
  </r>
  <r>
    <n v="8967"/>
    <x v="24"/>
    <x v="0"/>
    <n v="48"/>
    <x v="4"/>
    <x v="4"/>
    <x v="2"/>
    <x v="0"/>
    <s v="Sarah Young"/>
    <s v="2017-03-19"/>
    <x v="0"/>
    <x v="1"/>
    <n v="36721"/>
    <s v="B"/>
    <n v="8820"/>
    <s v="Health + Dental"/>
    <n v="0"/>
    <n v="2"/>
    <s v="Excel Workshop"/>
    <x v="1"/>
    <s v="Certified Professional"/>
  </r>
  <r>
    <n v="5087"/>
    <x v="25"/>
    <x v="1"/>
    <n v="28"/>
    <x v="1"/>
    <x v="2"/>
    <x v="4"/>
    <x v="0"/>
    <s v="Aaron Hart"/>
    <s v="2021-09-15"/>
    <x v="1"/>
    <x v="2"/>
    <n v="46326"/>
    <s v="B"/>
    <n v="9189"/>
    <s v="Health + Dental"/>
    <n v="8"/>
    <n v="4"/>
    <s v="Leadership Training"/>
    <x v="3"/>
    <s v="Advanced Training"/>
  </r>
  <r>
    <n v="3358"/>
    <x v="26"/>
    <x v="1"/>
    <n v="30"/>
    <x v="1"/>
    <x v="1"/>
    <x v="3"/>
    <x v="1"/>
    <s v="Brian Boyd"/>
    <s v="2022-05-09"/>
    <x v="0"/>
    <x v="0"/>
    <n v="59007"/>
    <s v="C"/>
    <n v="3380"/>
    <s v="Health"/>
    <n v="17"/>
    <n v="3"/>
    <s v="None"/>
    <x v="4"/>
    <s v="Certified Professional"/>
  </r>
  <r>
    <n v="8256"/>
    <x v="27"/>
    <x v="1"/>
    <n v="46"/>
    <x v="4"/>
    <x v="3"/>
    <x v="0"/>
    <x v="3"/>
    <s v="Steven Krueger"/>
    <s v="2017-06-22"/>
    <x v="0"/>
    <x v="1"/>
    <n v="52020"/>
    <s v="B"/>
    <n v="9585"/>
    <s v="Health + Dental"/>
    <n v="0"/>
    <n v="4"/>
    <s v="Excel Workshop"/>
    <x v="4"/>
    <s v="None"/>
  </r>
  <r>
    <n v="5763"/>
    <x v="28"/>
    <x v="1"/>
    <n v="44"/>
    <x v="2"/>
    <x v="1"/>
    <x v="2"/>
    <x v="1"/>
    <s v="Debra Williams"/>
    <s v="2020-11-28"/>
    <x v="2"/>
    <x v="1"/>
    <n v="98961"/>
    <s v="D"/>
    <n v="2688"/>
    <s v="Health"/>
    <n v="2"/>
    <n v="5"/>
    <s v="Excel Workshop"/>
    <x v="4"/>
    <s v="Certified Professional"/>
  </r>
  <r>
    <n v="6838"/>
    <x v="29"/>
    <x v="1"/>
    <n v="45"/>
    <x v="2"/>
    <x v="2"/>
    <x v="3"/>
    <x v="2"/>
    <s v="Karen Mitchell"/>
    <s v="2015-08-30"/>
    <x v="2"/>
    <x v="1"/>
    <n v="81943"/>
    <s v="C"/>
    <n v="2255"/>
    <s v="Health"/>
    <n v="18"/>
    <n v="2"/>
    <s v="None"/>
    <x v="2"/>
    <s v="Certified Professional"/>
  </r>
  <r>
    <n v="9544"/>
    <x v="30"/>
    <x v="1"/>
    <n v="52"/>
    <x v="4"/>
    <x v="4"/>
    <x v="2"/>
    <x v="1"/>
    <s v="Joseph Sanders"/>
    <s v="2018-10-27"/>
    <x v="2"/>
    <x v="1"/>
    <n v="47627"/>
    <s v="C"/>
    <n v="1221"/>
    <s v="None"/>
    <n v="4"/>
    <n v="3"/>
    <s v="None"/>
    <x v="1"/>
    <s v="None"/>
  </r>
  <r>
    <n v="8012"/>
    <x v="31"/>
    <x v="0"/>
    <n v="52"/>
    <x v="4"/>
    <x v="0"/>
    <x v="0"/>
    <x v="4"/>
    <s v="Shelly George"/>
    <s v="2018-08-26"/>
    <x v="2"/>
    <x v="1"/>
    <n v="56162"/>
    <s v="D"/>
    <n v="6560"/>
    <s v="Health + Dental"/>
    <n v="9"/>
    <n v="4"/>
    <s v="Excel Workshop"/>
    <x v="3"/>
    <s v="None"/>
  </r>
  <r>
    <n v="9374"/>
    <x v="32"/>
    <x v="0"/>
    <n v="42"/>
    <x v="2"/>
    <x v="1"/>
    <x v="2"/>
    <x v="2"/>
    <s v="Nicole Houston"/>
    <s v="2023-07-24"/>
    <x v="1"/>
    <x v="2"/>
    <n v="95734"/>
    <s v="C"/>
    <n v="4854"/>
    <s v="Health"/>
    <n v="13"/>
    <n v="2"/>
    <s v="Leadership Training"/>
    <x v="0"/>
    <s v="Certified Professional"/>
  </r>
  <r>
    <n v="3487"/>
    <x v="33"/>
    <x v="1"/>
    <n v="58"/>
    <x v="3"/>
    <x v="1"/>
    <x v="1"/>
    <x v="3"/>
    <s v="Kristin Shaffer"/>
    <s v="2018-07-09"/>
    <x v="1"/>
    <x v="2"/>
    <n v="74789"/>
    <s v="C"/>
    <n v="8101"/>
    <s v="Health + Dental"/>
    <n v="14"/>
    <n v="5"/>
    <s v="Excel Workshop"/>
    <x v="2"/>
    <s v="None"/>
  </r>
  <r>
    <n v="8445"/>
    <x v="34"/>
    <x v="0"/>
    <n v="24"/>
    <x v="0"/>
    <x v="4"/>
    <x v="0"/>
    <x v="3"/>
    <s v="Joel Aguilar"/>
    <s v="2016-12-21"/>
    <x v="0"/>
    <x v="2"/>
    <n v="30137"/>
    <s v="B"/>
    <n v="4031"/>
    <s v="None"/>
    <n v="5"/>
    <n v="3"/>
    <s v="None"/>
    <x v="1"/>
    <s v="Certified Professional"/>
  </r>
  <r>
    <n v="1550"/>
    <x v="35"/>
    <x v="1"/>
    <n v="21"/>
    <x v="0"/>
    <x v="1"/>
    <x v="0"/>
    <x v="0"/>
    <s v="Michael Wade"/>
    <s v="2019-06-27"/>
    <x v="0"/>
    <x v="2"/>
    <n v="95510"/>
    <s v="C"/>
    <n v="6811"/>
    <s v="Health"/>
    <n v="18"/>
    <n v="4"/>
    <s v="Excel Workshop"/>
    <x v="4"/>
    <s v="Certified Professional"/>
  </r>
  <r>
    <n v="9968"/>
    <x v="36"/>
    <x v="1"/>
    <n v="58"/>
    <x v="3"/>
    <x v="1"/>
    <x v="3"/>
    <x v="0"/>
    <s v="Jessica Walsh"/>
    <s v="2021-08-27"/>
    <x v="1"/>
    <x v="0"/>
    <n v="80325"/>
    <s v="B"/>
    <n v="6230"/>
    <s v="Health"/>
    <n v="5"/>
    <n v="4"/>
    <s v="None"/>
    <x v="2"/>
    <s v="Advanced Training"/>
  </r>
  <r>
    <n v="8029"/>
    <x v="37"/>
    <x v="0"/>
    <n v="57"/>
    <x v="3"/>
    <x v="3"/>
    <x v="4"/>
    <x v="4"/>
    <s v="Kelly Mack"/>
    <s v="2017-05-28"/>
    <x v="2"/>
    <x v="1"/>
    <n v="34109"/>
    <s v="B"/>
    <n v="9232"/>
    <s v="Health"/>
    <n v="13"/>
    <n v="3"/>
    <s v="Leadership Training"/>
    <x v="0"/>
    <s v="Certified Professional"/>
  </r>
  <r>
    <n v="8847"/>
    <x v="38"/>
    <x v="1"/>
    <n v="41"/>
    <x v="2"/>
    <x v="3"/>
    <x v="3"/>
    <x v="0"/>
    <s v="John Conley"/>
    <s v="2022-01-30"/>
    <x v="2"/>
    <x v="2"/>
    <n v="73330"/>
    <s v="C"/>
    <n v="2276"/>
    <s v="Health + Dental"/>
    <n v="5"/>
    <n v="1"/>
    <s v="None"/>
    <x v="1"/>
    <s v="Advanced Training"/>
  </r>
  <r>
    <n v="1955"/>
    <x v="39"/>
    <x v="0"/>
    <n v="58"/>
    <x v="3"/>
    <x v="2"/>
    <x v="2"/>
    <x v="1"/>
    <s v="Aaron Baker"/>
    <s v="2017-04-20"/>
    <x v="1"/>
    <x v="2"/>
    <n v="46567"/>
    <s v="A"/>
    <n v="2825"/>
    <s v="Health"/>
    <n v="15"/>
    <n v="3"/>
    <s v="None"/>
    <x v="4"/>
    <s v="Advanced Training"/>
  </r>
  <r>
    <n v="4522"/>
    <x v="40"/>
    <x v="0"/>
    <n v="36"/>
    <x v="2"/>
    <x v="0"/>
    <x v="4"/>
    <x v="0"/>
    <s v="Christopher Bass"/>
    <s v="2019-07-22"/>
    <x v="1"/>
    <x v="1"/>
    <n v="39795"/>
    <s v="A"/>
    <n v="1670"/>
    <s v="None"/>
    <n v="0"/>
    <n v="2"/>
    <s v="Excel Workshop"/>
    <x v="3"/>
    <s v="None"/>
  </r>
  <r>
    <n v="3078"/>
    <x v="41"/>
    <x v="0"/>
    <n v="21"/>
    <x v="0"/>
    <x v="0"/>
    <x v="0"/>
    <x v="4"/>
    <s v="Sean Tucker PhD"/>
    <s v="2018-11-29"/>
    <x v="1"/>
    <x v="2"/>
    <n v="59506"/>
    <s v="A"/>
    <n v="4428"/>
    <s v="Health + Dental"/>
    <n v="0"/>
    <n v="1"/>
    <s v="None"/>
    <x v="3"/>
    <s v="Certified Professional"/>
  </r>
  <r>
    <n v="6357"/>
    <x v="42"/>
    <x v="0"/>
    <n v="46"/>
    <x v="4"/>
    <x v="2"/>
    <x v="1"/>
    <x v="4"/>
    <s v="Jacob Scott"/>
    <s v="2022-11-14"/>
    <x v="1"/>
    <x v="2"/>
    <n v="49058"/>
    <s v="B"/>
    <n v="4396"/>
    <s v="None"/>
    <n v="5"/>
    <n v="1"/>
    <s v="None"/>
    <x v="3"/>
    <s v="None"/>
  </r>
  <r>
    <n v="7951"/>
    <x v="43"/>
    <x v="0"/>
    <n v="36"/>
    <x v="2"/>
    <x v="3"/>
    <x v="2"/>
    <x v="4"/>
    <s v="Joel Park"/>
    <s v="2016-02-23"/>
    <x v="1"/>
    <x v="0"/>
    <n v="98612"/>
    <s v="A"/>
    <n v="1168"/>
    <s v="None"/>
    <n v="9"/>
    <n v="2"/>
    <s v="Excel Workshop"/>
    <x v="0"/>
    <s v="Certified Professional"/>
  </r>
  <r>
    <n v="9228"/>
    <x v="44"/>
    <x v="1"/>
    <n v="41"/>
    <x v="2"/>
    <x v="4"/>
    <x v="3"/>
    <x v="1"/>
    <s v="Russell Marshall"/>
    <s v="2018-05-18"/>
    <x v="2"/>
    <x v="1"/>
    <n v="38201"/>
    <s v="A"/>
    <n v="7111"/>
    <s v="Health"/>
    <n v="8"/>
    <n v="4"/>
    <s v="Leadership Training"/>
    <x v="3"/>
    <s v="None"/>
  </r>
  <r>
    <n v="8988"/>
    <x v="45"/>
    <x v="1"/>
    <n v="25"/>
    <x v="0"/>
    <x v="0"/>
    <x v="2"/>
    <x v="2"/>
    <s v="James Holden"/>
    <s v="2024-03-09"/>
    <x v="2"/>
    <x v="1"/>
    <n v="92919"/>
    <s v="D"/>
    <n v="9497"/>
    <s v="Health"/>
    <n v="7"/>
    <n v="2"/>
    <s v="None"/>
    <x v="3"/>
    <s v="Advanced Training"/>
  </r>
  <r>
    <n v="1952"/>
    <x v="46"/>
    <x v="0"/>
    <n v="29"/>
    <x v="1"/>
    <x v="4"/>
    <x v="0"/>
    <x v="1"/>
    <s v="Thomas Murphy"/>
    <s v="2024-03-27"/>
    <x v="0"/>
    <x v="2"/>
    <n v="45188"/>
    <s v="A"/>
    <n v="9591"/>
    <s v="Health + Dental"/>
    <n v="18"/>
    <n v="3"/>
    <s v="Leadership Training"/>
    <x v="3"/>
    <s v="None"/>
  </r>
  <r>
    <n v="5760"/>
    <x v="47"/>
    <x v="0"/>
    <n v="59"/>
    <x v="3"/>
    <x v="2"/>
    <x v="1"/>
    <x v="0"/>
    <s v="Mark Abbott"/>
    <s v="2019-12-23"/>
    <x v="0"/>
    <x v="1"/>
    <n v="34927"/>
    <s v="D"/>
    <n v="6996"/>
    <s v="Health + Dental"/>
    <n v="16"/>
    <n v="1"/>
    <s v="Excel Workshop"/>
    <x v="0"/>
    <s v="Certified Professional"/>
  </r>
  <r>
    <n v="5742"/>
    <x v="48"/>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W3:X9"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4">
    <format dxfId="3">
      <pivotArea collapsedLevelsAreSubtotals="1" fieldPosition="0">
        <references count="1">
          <reference field="7" count="0"/>
        </references>
      </pivotArea>
    </format>
    <format dxfId="2">
      <pivotArea grandRow="1" outline="0" collapsedLevelsAreSubtotals="1" fieldPosition="0"/>
    </format>
    <format dxfId="1">
      <pivotArea type="all" dataOnly="0" outline="0" fieldPosition="0"/>
    </format>
    <format dxfId="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T3:U9"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2">
    <format dxfId="5">
      <pivotArea type="all" dataOnly="0" outline="0" fieldPosition="0"/>
    </format>
    <format dxfId="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E3:G9"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4">
    <format dxfId="9">
      <pivotArea collapsedLevelsAreSubtotals="1" fieldPosition="0">
        <references count="1">
          <reference field="6" count="0"/>
        </references>
      </pivotArea>
    </format>
    <format dxfId="8">
      <pivotArea collapsedLevelsAreSubtotals="1" fieldPosition="0">
        <references count="2">
          <reference field="4294967294" count="1" selected="0">
            <x v="1"/>
          </reference>
          <reference field="6" count="0"/>
        </references>
      </pivotArea>
    </format>
    <format dxfId="7">
      <pivotArea type="all" dataOnly="0" outline="0" fieldPosition="0"/>
    </format>
    <format dxfId="6">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C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formats count="2">
    <format dxfId="11">
      <pivotArea type="all" dataOnly="0" outline="0" fieldPosition="0"/>
    </format>
    <format dxfId="1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N3:O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2">
    <format dxfId="13">
      <pivotArea type="all" dataOnly="0" outline="0" fieldPosition="0"/>
    </format>
    <format dxfId="1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Q3:R9"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2">
    <format dxfId="15">
      <pivotArea type="all" dataOnly="0" outline="0" fieldPosition="0"/>
    </format>
    <format dxfId="1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I3:L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2">
    <format dxfId="17">
      <pivotArea type="all" dataOnly="0" outline="0" fieldPosition="0"/>
    </format>
    <format dxfId="16">
      <pivotArea type="all" dataOnly="0" outline="0" fieldPosition="0"/>
    </format>
  </format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Filter by Gender" columnCount="2" style="Slicer Style 2" rowHeight="234950"/>
  <slicer name="Department" cache="Slicer_Department" caption="Filter by Department" columnCount="3" style="Slicer Style 2" rowHeight="234950"/>
</slicers>
</file>

<file path=xl/tables/table1.xml><?xml version="1.0" encoding="utf-8"?>
<table xmlns="http://schemas.openxmlformats.org/spreadsheetml/2006/main" id="1" name="Table1" displayName="Table1" ref="A1:U51" totalsRowShown="0" headerRowDxfId="40" dataDxfId="39">
  <autoFilter ref="A1:U51"/>
  <tableColumns count="21">
    <tableColumn id="1" name="Employee ID" dataDxfId="38"/>
    <tableColumn id="2" name="Full Name" dataDxfId="37"/>
    <tableColumn id="3" name="Gender" dataDxfId="36"/>
    <tableColumn id="4" name="Age" dataDxfId="35"/>
    <tableColumn id="5" name="Age range" dataDxfId="34"/>
    <tableColumn id="6" name="Region" dataDxfId="33"/>
    <tableColumn id="7" name="Job Title" dataDxfId="32"/>
    <tableColumn id="8" name="Department" dataDxfId="31"/>
    <tableColumn id="9" name="Manager/Supervisor" dataDxfId="30"/>
    <tableColumn id="10" name="Date of Hire" dataDxfId="29"/>
    <tableColumn id="11" name="Employment Status" dataDxfId="28"/>
    <tableColumn id="12" name="Work Location" dataDxfId="27"/>
    <tableColumn id="13" name="Salary" dataDxfId="26"/>
    <tableColumn id="14" name="Pay Grade" dataDxfId="25"/>
    <tableColumn id="15" name="Bonus/Allowances" dataDxfId="24"/>
    <tableColumn id="16" name="Insurance Details" dataDxfId="23"/>
    <tableColumn id="17" name="Leave Taken" dataDxfId="22"/>
    <tableColumn id="18" name="Performance Rating" dataDxfId="21"/>
    <tableColumn id="19" name="Training Programs Attended" dataDxfId="20"/>
    <tableColumn id="20" name="Skills" dataDxfId="19"/>
    <tableColumn id="21" name="Certifications" dataDxfId="1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2" zoomScale="90" zoomScaleNormal="90" workbookViewId="0">
      <selection activeCell="X10" sqref="X1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
  <sheetViews>
    <sheetView topLeftCell="A2" workbookViewId="0">
      <selection activeCell="A6" sqref="A6"/>
    </sheetView>
  </sheetViews>
  <sheetFormatPr defaultRowHeight="14.4"/>
  <cols>
    <col min="1" max="1" width="18" bestFit="1" customWidth="1"/>
    <col min="2" max="2" width="16.77734375" bestFit="1" customWidth="1"/>
    <col min="3" max="3" width="12.6640625" bestFit="1" customWidth="1"/>
    <col min="4" max="4" width="9.33203125" bestFit="1" customWidth="1"/>
    <col min="5" max="5" width="15.44140625" bestFit="1" customWidth="1"/>
    <col min="6" max="6" width="12.33203125" bestFit="1" customWidth="1"/>
    <col min="7" max="7" width="13.77734375" bestFit="1" customWidth="1"/>
    <col min="8" max="8" width="16.88671875" bestFit="1" customWidth="1"/>
    <col min="9" max="9" width="25.21875" bestFit="1" customWidth="1"/>
    <col min="10" max="10" width="16.88671875" bestFit="1" customWidth="1"/>
    <col min="11" max="11" width="24.77734375" bestFit="1" customWidth="1"/>
    <col min="12" max="12" width="19.44140625" bestFit="1" customWidth="1"/>
    <col min="13" max="13" width="11.5546875" bestFit="1" customWidth="1"/>
    <col min="14" max="14" width="15.5546875" bestFit="1" customWidth="1"/>
    <col min="15" max="15" width="23.6640625" bestFit="1" customWidth="1"/>
    <col min="16" max="16" width="22.44140625" bestFit="1" customWidth="1"/>
    <col min="17" max="17" width="18" bestFit="1" customWidth="1"/>
    <col min="18" max="18" width="25" bestFit="1" customWidth="1"/>
    <col min="19" max="19" width="33.21875" bestFit="1" customWidth="1"/>
    <col min="20" max="20" width="14.77734375" bestFit="1" customWidth="1"/>
    <col min="21" max="21" width="20.21875" bestFit="1"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row>
    <row r="2" spans="1:25">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c r="V2" s="2"/>
      <c r="W2" s="2"/>
      <c r="X2" s="2"/>
      <c r="Y2" s="2"/>
    </row>
    <row r="3" spans="1:25">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c r="V3" s="2"/>
      <c r="W3" s="2"/>
      <c r="X3" s="2"/>
      <c r="Y3" s="2"/>
    </row>
    <row r="4" spans="1:25">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c r="V4" s="2"/>
      <c r="W4" s="2"/>
      <c r="X4" s="2"/>
      <c r="Y4" s="2"/>
    </row>
    <row r="5" spans="1:25">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c r="V5" s="2"/>
      <c r="W5" s="2"/>
      <c r="X5" s="2"/>
      <c r="Y5" s="2"/>
    </row>
    <row r="6" spans="1:25">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c r="V6" s="2"/>
      <c r="W6" s="2"/>
      <c r="X6" s="2"/>
      <c r="Y6" s="2"/>
    </row>
    <row r="7" spans="1:25">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c r="V7" s="2"/>
      <c r="W7" s="2"/>
      <c r="X7" s="2"/>
      <c r="Y7" s="2"/>
    </row>
    <row r="8" spans="1:25">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c r="V8" s="2"/>
      <c r="W8" s="2"/>
      <c r="X8" s="2"/>
      <c r="Y8" s="2"/>
    </row>
    <row r="9" spans="1:25">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c r="V9" s="2"/>
      <c r="W9" s="2"/>
      <c r="X9" s="2"/>
      <c r="Y9" s="2"/>
    </row>
    <row r="10" spans="1:25">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c r="V10" s="2"/>
      <c r="W10" s="2"/>
      <c r="X10" s="2"/>
      <c r="Y10" s="2"/>
    </row>
    <row r="11" spans="1:25">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c r="V11" s="2"/>
      <c r="W11" s="2"/>
      <c r="X11" s="2"/>
      <c r="Y11" s="2"/>
    </row>
    <row r="12" spans="1:25">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c r="V12" s="2"/>
      <c r="W12" s="2"/>
      <c r="X12" s="2"/>
      <c r="Y12" s="2"/>
    </row>
    <row r="13" spans="1:25">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c r="V13" s="2"/>
      <c r="W13" s="2"/>
      <c r="X13" s="2"/>
      <c r="Y13" s="2"/>
    </row>
    <row r="14" spans="1:25">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c r="V14" s="2"/>
      <c r="W14" s="2"/>
      <c r="X14" s="2"/>
      <c r="Y14" s="2"/>
    </row>
    <row r="15" spans="1:25">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c r="V15" s="2"/>
      <c r="W15" s="2"/>
      <c r="X15" s="2"/>
      <c r="Y15" s="2"/>
    </row>
    <row r="16" spans="1:25">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c r="V16" s="2"/>
      <c r="W16" s="2"/>
      <c r="X16" s="2"/>
      <c r="Y16" s="2"/>
    </row>
    <row r="17" spans="1:25">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c r="V17" s="2"/>
      <c r="W17" s="2"/>
      <c r="X17" s="2"/>
      <c r="Y17" s="2"/>
    </row>
    <row r="18" spans="1:25">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c r="V18" s="2"/>
      <c r="W18" s="2"/>
      <c r="X18" s="2"/>
      <c r="Y18" s="2"/>
    </row>
    <row r="19" spans="1:25">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c r="V19" s="2"/>
      <c r="W19" s="2"/>
      <c r="X19" s="2"/>
      <c r="Y19" s="2"/>
    </row>
    <row r="20" spans="1:25">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c r="V20" s="2"/>
      <c r="W20" s="2"/>
      <c r="X20" s="2"/>
      <c r="Y20" s="2"/>
    </row>
    <row r="21" spans="1:25">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c r="V21" s="2"/>
      <c r="W21" s="2"/>
      <c r="X21" s="2"/>
      <c r="Y21" s="2"/>
    </row>
    <row r="22" spans="1:25">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c r="V22" s="2"/>
      <c r="W22" s="2"/>
      <c r="X22" s="2"/>
      <c r="Y22" s="2"/>
    </row>
    <row r="23" spans="1:25">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c r="V23" s="2"/>
      <c r="W23" s="2"/>
      <c r="X23" s="2"/>
      <c r="Y23" s="2"/>
    </row>
    <row r="24" spans="1:25">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c r="V24" s="2"/>
      <c r="W24" s="2"/>
      <c r="X24" s="2"/>
      <c r="Y24" s="2"/>
    </row>
    <row r="25" spans="1:25">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c r="V25" s="2"/>
      <c r="W25" s="2"/>
      <c r="X25" s="2"/>
      <c r="Y25" s="2"/>
    </row>
    <row r="26" spans="1:25">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c r="V26" s="2"/>
      <c r="W26" s="2"/>
      <c r="X26" s="2"/>
      <c r="Y26" s="2"/>
    </row>
    <row r="27" spans="1:25">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c r="V27" s="2"/>
      <c r="W27" s="2"/>
      <c r="X27" s="2"/>
      <c r="Y27" s="2"/>
    </row>
    <row r="28" spans="1:25">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c r="V28" s="2"/>
      <c r="W28" s="2"/>
      <c r="X28" s="2"/>
      <c r="Y28" s="2"/>
    </row>
    <row r="29" spans="1:25">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c r="V29" s="2"/>
      <c r="W29" s="2"/>
      <c r="X29" s="2"/>
      <c r="Y29" s="2"/>
    </row>
    <row r="30" spans="1:25">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c r="V30" s="2"/>
      <c r="W30" s="2"/>
      <c r="X30" s="2"/>
      <c r="Y30" s="2"/>
    </row>
    <row r="31" spans="1:25">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c r="V31" s="2"/>
      <c r="W31" s="2"/>
      <c r="X31" s="2"/>
      <c r="Y31" s="2"/>
    </row>
    <row r="32" spans="1:25">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c r="V32" s="2"/>
      <c r="W32" s="2"/>
      <c r="X32" s="2"/>
      <c r="Y32" s="2"/>
    </row>
    <row r="33" spans="1:25">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c r="V33" s="2"/>
      <c r="W33" s="2"/>
      <c r="X33" s="2"/>
      <c r="Y33" s="2"/>
    </row>
    <row r="34" spans="1:25">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c r="V34" s="2"/>
      <c r="W34" s="2"/>
      <c r="X34" s="2"/>
      <c r="Y34" s="2"/>
    </row>
    <row r="35" spans="1:25">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c r="V35" s="2"/>
      <c r="W35" s="2"/>
      <c r="X35" s="2"/>
      <c r="Y35" s="2"/>
    </row>
    <row r="36" spans="1:25">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c r="V36" s="2"/>
      <c r="W36" s="2"/>
      <c r="X36" s="2"/>
      <c r="Y36" s="2"/>
    </row>
    <row r="37" spans="1:25">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c r="V37" s="2"/>
      <c r="W37" s="2"/>
      <c r="X37" s="2"/>
      <c r="Y37" s="2"/>
    </row>
    <row r="38" spans="1:25">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c r="V38" s="2"/>
      <c r="W38" s="2"/>
      <c r="X38" s="2"/>
      <c r="Y38" s="2"/>
    </row>
    <row r="39" spans="1:25">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c r="V39" s="2"/>
      <c r="W39" s="2"/>
      <c r="X39" s="2"/>
      <c r="Y39" s="2"/>
    </row>
    <row r="40" spans="1:25">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c r="V40" s="2"/>
      <c r="W40" s="2"/>
      <c r="X40" s="2"/>
      <c r="Y40" s="2"/>
    </row>
    <row r="41" spans="1:25">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c r="V41" s="2"/>
      <c r="W41" s="2"/>
      <c r="X41" s="2"/>
      <c r="Y41" s="2"/>
    </row>
    <row r="42" spans="1:25">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c r="V42" s="2"/>
      <c r="W42" s="2"/>
      <c r="X42" s="2"/>
      <c r="Y42" s="2"/>
    </row>
    <row r="43" spans="1:25">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c r="V43" s="2"/>
      <c r="W43" s="2"/>
      <c r="X43" s="2"/>
      <c r="Y43" s="2"/>
    </row>
    <row r="44" spans="1:25">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c r="V44" s="2"/>
      <c r="W44" s="2"/>
      <c r="X44" s="2"/>
      <c r="Y44" s="2"/>
    </row>
    <row r="45" spans="1:25">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c r="V45" s="2"/>
      <c r="W45" s="2"/>
      <c r="X45" s="2"/>
      <c r="Y45" s="2"/>
    </row>
    <row r="46" spans="1:25">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c r="V46" s="2"/>
      <c r="W46" s="2"/>
      <c r="X46" s="2"/>
      <c r="Y46" s="2"/>
    </row>
    <row r="47" spans="1:25">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c r="V47" s="2"/>
      <c r="W47" s="2"/>
      <c r="X47" s="2"/>
      <c r="Y47" s="2"/>
    </row>
    <row r="48" spans="1:25">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c r="V48" s="2"/>
      <c r="W48" s="2"/>
      <c r="X48" s="2"/>
      <c r="Y48" s="2"/>
    </row>
    <row r="49" spans="1:25">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c r="V49" s="2"/>
      <c r="W49" s="2"/>
      <c r="X49" s="2"/>
      <c r="Y49" s="2"/>
    </row>
    <row r="50" spans="1:25">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c r="V50" s="2"/>
      <c r="W50" s="2"/>
      <c r="X50" s="2"/>
      <c r="Y50" s="2"/>
    </row>
    <row r="51" spans="1:25">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c r="V51" s="2"/>
      <c r="W51" s="2"/>
      <c r="X51" s="2"/>
      <c r="Y5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33"/>
  <sheetViews>
    <sheetView workbookViewId="0">
      <selection activeCell="A26" sqref="A26"/>
    </sheetView>
  </sheetViews>
  <sheetFormatPr defaultRowHeight="14.4"/>
  <cols>
    <col min="1" max="1" width="2" customWidth="1"/>
    <col min="2" max="2" width="12.5546875" customWidth="1"/>
    <col min="3" max="3" width="17.33203125" bestFit="1" customWidth="1"/>
    <col min="4" max="4" width="2.77734375" customWidth="1"/>
    <col min="5" max="5" width="12.88671875" bestFit="1" customWidth="1"/>
    <col min="6" max="6" width="12.6640625" customWidth="1"/>
    <col min="7" max="7" width="17.33203125" bestFit="1" customWidth="1"/>
    <col min="8" max="8" width="4.33203125" customWidth="1"/>
    <col min="9" max="9" width="17.33203125" bestFit="1" customWidth="1"/>
    <col min="10" max="10" width="15.77734375" bestFit="1" customWidth="1"/>
    <col min="11" max="11" width="5.21875" customWidth="1"/>
    <col min="12" max="12" width="11.109375" bestFit="1" customWidth="1"/>
    <col min="13" max="13" width="3.21875" customWidth="1"/>
    <col min="14" max="14" width="12.88671875" bestFit="1" customWidth="1"/>
    <col min="15" max="15" width="17.33203125" bestFit="1" customWidth="1"/>
    <col min="16" max="16" width="3.88671875" customWidth="1"/>
    <col min="17" max="17" width="13.21875" customWidth="1"/>
    <col min="18" max="18" width="17.33203125" bestFit="1" customWidth="1"/>
    <col min="19" max="19" width="4.33203125" customWidth="1"/>
    <col min="20" max="20" width="12.88671875" bestFit="1" customWidth="1"/>
    <col min="21" max="21" width="17.33203125" bestFit="1" customWidth="1"/>
    <col min="22" max="22" width="4.44140625" customWidth="1"/>
    <col min="23" max="23" width="12.88671875" bestFit="1" customWidth="1"/>
    <col min="24" max="24" width="27.21875" customWidth="1"/>
  </cols>
  <sheetData>
    <row r="1" spans="2:26">
      <c r="B1" s="4"/>
      <c r="C1" s="4"/>
      <c r="D1" s="4"/>
      <c r="E1" s="4"/>
      <c r="F1" s="4"/>
      <c r="G1" s="4"/>
      <c r="H1" s="4"/>
      <c r="I1" s="4"/>
      <c r="J1" s="4"/>
      <c r="K1" s="4"/>
      <c r="L1" s="4"/>
      <c r="M1" s="4"/>
      <c r="N1" s="4"/>
      <c r="O1" s="4"/>
      <c r="P1" s="4"/>
      <c r="Q1" s="4"/>
      <c r="R1" s="4"/>
      <c r="S1" s="4"/>
      <c r="T1" s="4"/>
      <c r="U1" s="4"/>
      <c r="V1" s="4"/>
      <c r="W1" s="4"/>
      <c r="X1" s="4"/>
      <c r="Y1" s="4"/>
      <c r="Z1" s="4"/>
    </row>
    <row r="2" spans="2:26">
      <c r="B2" s="16" t="s">
        <v>217</v>
      </c>
      <c r="C2" s="16"/>
      <c r="D2" s="4"/>
      <c r="E2" s="16" t="s">
        <v>220</v>
      </c>
      <c r="F2" s="16"/>
      <c r="G2" s="16"/>
      <c r="H2" s="4"/>
      <c r="I2" s="16" t="s">
        <v>222</v>
      </c>
      <c r="J2" s="16"/>
      <c r="K2" s="16"/>
      <c r="L2" s="16"/>
      <c r="M2" s="4"/>
      <c r="N2" s="16" t="s">
        <v>224</v>
      </c>
      <c r="O2" s="16"/>
      <c r="P2" s="4"/>
      <c r="Q2" s="16" t="s">
        <v>19</v>
      </c>
      <c r="R2" s="16"/>
      <c r="S2" s="4"/>
      <c r="T2" s="16" t="s">
        <v>227</v>
      </c>
      <c r="U2" s="16"/>
      <c r="V2" s="4"/>
      <c r="W2" s="16" t="s">
        <v>228</v>
      </c>
      <c r="X2" s="16"/>
      <c r="Y2" s="4"/>
      <c r="Z2" s="4"/>
    </row>
    <row r="3" spans="2:26">
      <c r="B3" s="5" t="s">
        <v>214</v>
      </c>
      <c r="C3" s="4" t="s">
        <v>216</v>
      </c>
      <c r="D3" s="4"/>
      <c r="E3" s="5" t="s">
        <v>214</v>
      </c>
      <c r="F3" s="4" t="s">
        <v>219</v>
      </c>
      <c r="G3" s="4" t="s">
        <v>225</v>
      </c>
      <c r="H3" s="4"/>
      <c r="I3" s="5" t="s">
        <v>216</v>
      </c>
      <c r="J3" s="5" t="s">
        <v>221</v>
      </c>
      <c r="K3" s="4"/>
      <c r="L3" s="4"/>
      <c r="M3" s="4"/>
      <c r="N3" s="5" t="s">
        <v>214</v>
      </c>
      <c r="O3" s="4" t="s">
        <v>216</v>
      </c>
      <c r="P3" s="4"/>
      <c r="Q3" s="5" t="s">
        <v>214</v>
      </c>
      <c r="R3" s="4" t="s">
        <v>216</v>
      </c>
      <c r="S3" s="4"/>
      <c r="T3" s="5" t="s">
        <v>214</v>
      </c>
      <c r="U3" s="4" t="s">
        <v>216</v>
      </c>
      <c r="V3" s="4"/>
      <c r="W3" s="5" t="s">
        <v>214</v>
      </c>
      <c r="X3" s="4" t="s">
        <v>226</v>
      </c>
      <c r="Y3" s="4"/>
      <c r="Z3" s="4"/>
    </row>
    <row r="4" spans="2:26">
      <c r="B4" s="6" t="s">
        <v>63</v>
      </c>
      <c r="C4" s="7">
        <v>17</v>
      </c>
      <c r="D4" s="4"/>
      <c r="E4" s="6" t="s">
        <v>121</v>
      </c>
      <c r="F4" s="8">
        <v>167041</v>
      </c>
      <c r="G4" s="7">
        <v>28</v>
      </c>
      <c r="H4" s="4"/>
      <c r="I4" s="5" t="s">
        <v>214</v>
      </c>
      <c r="J4" s="4" t="s">
        <v>22</v>
      </c>
      <c r="K4" s="4" t="s">
        <v>37</v>
      </c>
      <c r="L4" s="4" t="s">
        <v>215</v>
      </c>
      <c r="M4" s="4"/>
      <c r="N4" s="6" t="s">
        <v>44</v>
      </c>
      <c r="O4" s="7">
        <v>23</v>
      </c>
      <c r="P4" s="4"/>
      <c r="Q4" s="6" t="s">
        <v>75</v>
      </c>
      <c r="R4" s="7">
        <v>12</v>
      </c>
      <c r="S4" s="4"/>
      <c r="T4" s="6" t="s">
        <v>39</v>
      </c>
      <c r="U4" s="7">
        <v>14</v>
      </c>
      <c r="V4" s="4"/>
      <c r="W4" s="6" t="s">
        <v>26</v>
      </c>
      <c r="X4" s="9">
        <v>2.5833333333333335</v>
      </c>
      <c r="Y4" s="4"/>
      <c r="Z4" s="4"/>
    </row>
    <row r="5" spans="2:26">
      <c r="B5" s="6" t="s">
        <v>29</v>
      </c>
      <c r="C5" s="7">
        <v>20</v>
      </c>
      <c r="D5" s="4"/>
      <c r="E5" s="6" t="s">
        <v>40</v>
      </c>
      <c r="F5" s="8">
        <v>613842</v>
      </c>
      <c r="G5" s="7">
        <v>110</v>
      </c>
      <c r="H5" s="4"/>
      <c r="I5" s="6" t="s">
        <v>23</v>
      </c>
      <c r="J5" s="7">
        <v>6</v>
      </c>
      <c r="K5" s="7">
        <v>3</v>
      </c>
      <c r="L5" s="7">
        <v>9</v>
      </c>
      <c r="M5" s="4"/>
      <c r="N5" s="6" t="s">
        <v>30</v>
      </c>
      <c r="O5" s="7">
        <v>8</v>
      </c>
      <c r="P5" s="4"/>
      <c r="Q5" s="6" t="s">
        <v>34</v>
      </c>
      <c r="R5" s="7">
        <v>11</v>
      </c>
      <c r="S5" s="4"/>
      <c r="T5" s="6" t="s">
        <v>24</v>
      </c>
      <c r="U5" s="7">
        <v>10</v>
      </c>
      <c r="V5" s="4"/>
      <c r="W5" s="6" t="s">
        <v>41</v>
      </c>
      <c r="X5" s="9">
        <v>3.3</v>
      </c>
      <c r="Y5" s="4"/>
      <c r="Z5" s="4"/>
    </row>
    <row r="6" spans="2:26">
      <c r="B6" s="6" t="s">
        <v>111</v>
      </c>
      <c r="C6" s="7">
        <v>13</v>
      </c>
      <c r="D6" s="4"/>
      <c r="E6" s="6" t="s">
        <v>72</v>
      </c>
      <c r="F6" s="8">
        <v>633594</v>
      </c>
      <c r="G6" s="7">
        <v>104</v>
      </c>
      <c r="H6" s="4"/>
      <c r="I6" s="6" t="s">
        <v>38</v>
      </c>
      <c r="J6" s="7">
        <v>7</v>
      </c>
      <c r="K6" s="7">
        <v>6</v>
      </c>
      <c r="L6" s="7">
        <v>13</v>
      </c>
      <c r="M6" s="4"/>
      <c r="N6" s="6" t="s">
        <v>54</v>
      </c>
      <c r="O6" s="7">
        <v>19</v>
      </c>
      <c r="P6" s="4"/>
      <c r="Q6" s="6" t="s">
        <v>96</v>
      </c>
      <c r="R6" s="7">
        <v>7</v>
      </c>
      <c r="S6" s="4"/>
      <c r="T6" s="6" t="s">
        <v>102</v>
      </c>
      <c r="U6" s="7">
        <v>7</v>
      </c>
      <c r="V6" s="4"/>
      <c r="W6" s="6" t="s">
        <v>81</v>
      </c>
      <c r="X6" s="9">
        <v>2.25</v>
      </c>
      <c r="Y6" s="4"/>
      <c r="Z6" s="4"/>
    </row>
    <row r="7" spans="2:26">
      <c r="B7" s="6" t="s">
        <v>215</v>
      </c>
      <c r="C7" s="7">
        <v>50</v>
      </c>
      <c r="D7" s="4"/>
      <c r="E7" s="6" t="s">
        <v>50</v>
      </c>
      <c r="F7" s="8">
        <v>959266</v>
      </c>
      <c r="G7" s="7">
        <v>123</v>
      </c>
      <c r="H7" s="4"/>
      <c r="I7" s="6" t="s">
        <v>59</v>
      </c>
      <c r="J7" s="7">
        <v>5</v>
      </c>
      <c r="K7" s="7">
        <v>7</v>
      </c>
      <c r="L7" s="7">
        <v>12</v>
      </c>
      <c r="M7" s="4"/>
      <c r="N7" s="6" t="s">
        <v>215</v>
      </c>
      <c r="O7" s="7">
        <v>50</v>
      </c>
      <c r="P7" s="4"/>
      <c r="Q7" s="6" t="s">
        <v>56</v>
      </c>
      <c r="R7" s="7">
        <v>11</v>
      </c>
      <c r="S7" s="4"/>
      <c r="T7" s="6" t="s">
        <v>80</v>
      </c>
      <c r="U7" s="7">
        <v>10</v>
      </c>
      <c r="V7" s="4"/>
      <c r="W7" s="6" t="s">
        <v>51</v>
      </c>
      <c r="X7" s="9">
        <v>2.3636363636363638</v>
      </c>
      <c r="Y7" s="4"/>
      <c r="Z7" s="4"/>
    </row>
    <row r="8" spans="2:26">
      <c r="B8" s="4"/>
      <c r="C8" s="4"/>
      <c r="D8" s="4"/>
      <c r="E8" s="6" t="s">
        <v>25</v>
      </c>
      <c r="F8" s="8">
        <v>731170</v>
      </c>
      <c r="G8" s="7">
        <v>122</v>
      </c>
      <c r="H8" s="4"/>
      <c r="I8" s="6" t="s">
        <v>98</v>
      </c>
      <c r="J8" s="7">
        <v>4</v>
      </c>
      <c r="K8" s="7">
        <v>3</v>
      </c>
      <c r="L8" s="7">
        <v>7</v>
      </c>
      <c r="M8" s="4"/>
      <c r="N8" s="4"/>
      <c r="O8" s="4"/>
      <c r="P8" s="4"/>
      <c r="Q8" s="6" t="s">
        <v>66</v>
      </c>
      <c r="R8" s="7">
        <v>9</v>
      </c>
      <c r="S8" s="4"/>
      <c r="T8" s="6" t="s">
        <v>49</v>
      </c>
      <c r="U8" s="7">
        <v>9</v>
      </c>
      <c r="V8" s="4"/>
      <c r="W8" s="6" t="s">
        <v>60</v>
      </c>
      <c r="X8" s="9">
        <v>2.5555555555555554</v>
      </c>
      <c r="Y8" s="4"/>
      <c r="Z8" s="4"/>
    </row>
    <row r="9" spans="2:26">
      <c r="B9" s="6" t="s">
        <v>63</v>
      </c>
      <c r="C9" s="4">
        <f>IFERROR(GETPIVOTDATA("Full Name",$B$3,"Employment Status","Contract"),"0")</f>
        <v>17</v>
      </c>
      <c r="D9" s="4"/>
      <c r="E9" s="6" t="s">
        <v>215</v>
      </c>
      <c r="F9" s="7">
        <v>3104913</v>
      </c>
      <c r="G9" s="7">
        <v>487</v>
      </c>
      <c r="H9" s="4"/>
      <c r="I9" s="6" t="s">
        <v>68</v>
      </c>
      <c r="J9" s="7">
        <v>4</v>
      </c>
      <c r="K9" s="7">
        <v>5</v>
      </c>
      <c r="L9" s="7">
        <v>9</v>
      </c>
      <c r="M9" s="4"/>
      <c r="N9" s="6" t="s">
        <v>44</v>
      </c>
      <c r="O9" s="4">
        <f>IFERROR(GETPIVOTDATA("Full Name",$N$3,"Work Location","Branch Office"),"0")</f>
        <v>23</v>
      </c>
      <c r="P9" s="4"/>
      <c r="Q9" s="6" t="s">
        <v>215</v>
      </c>
      <c r="R9" s="7">
        <v>50</v>
      </c>
      <c r="S9" s="4"/>
      <c r="T9" s="6" t="s">
        <v>215</v>
      </c>
      <c r="U9" s="7">
        <v>50</v>
      </c>
      <c r="V9" s="4"/>
      <c r="W9" s="6" t="s">
        <v>215</v>
      </c>
      <c r="X9" s="9">
        <v>2.62</v>
      </c>
      <c r="Y9" s="4"/>
      <c r="Z9" s="4"/>
    </row>
    <row r="10" spans="2:26">
      <c r="B10" s="6" t="s">
        <v>29</v>
      </c>
      <c r="C10" s="4">
        <f>IFERROR(GETPIVOTDATA("Full Name",$B$3,"Employment Status","Full-Time"),"0")</f>
        <v>20</v>
      </c>
      <c r="D10" s="4"/>
      <c r="E10" s="4"/>
      <c r="F10" s="4"/>
      <c r="G10" s="4"/>
      <c r="H10" s="4"/>
      <c r="I10" s="6" t="s">
        <v>215</v>
      </c>
      <c r="J10" s="7">
        <v>26</v>
      </c>
      <c r="K10" s="7">
        <v>24</v>
      </c>
      <c r="L10" s="7">
        <v>50</v>
      </c>
      <c r="M10" s="4"/>
      <c r="N10" s="6" t="s">
        <v>30</v>
      </c>
      <c r="O10" s="4">
        <f>IFERROR(GETPIVOTDATA("Full Name",$N$3,"Work Location","Head Office"),"0")</f>
        <v>8</v>
      </c>
      <c r="P10" s="4"/>
      <c r="Q10" s="4"/>
      <c r="R10" s="4"/>
      <c r="S10" s="4"/>
      <c r="T10" s="4"/>
      <c r="U10" s="4"/>
      <c r="V10" s="4"/>
      <c r="W10" s="4"/>
      <c r="X10" s="4"/>
      <c r="Y10" s="4"/>
      <c r="Z10" s="4"/>
    </row>
    <row r="11" spans="2:26">
      <c r="B11" s="6" t="s">
        <v>111</v>
      </c>
      <c r="C11" s="4">
        <f>IFERROR(GETPIVOTDATA("Full Name",$B$3,"Employment Status","Part-Time"),"0")</f>
        <v>13</v>
      </c>
      <c r="D11" s="4"/>
      <c r="E11" s="6" t="s">
        <v>121</v>
      </c>
      <c r="F11" s="12">
        <f>IFERROR(GETPIVOTDATA("Salary",$E$3,"Job Title","Analyst"),"0")</f>
        <v>167041</v>
      </c>
      <c r="G11" s="13">
        <f>IFERROR(GETPIVOTDATA("Sum of Leave Taken",$E$3,"Job Title","Analyst"),"0")</f>
        <v>28</v>
      </c>
      <c r="H11" s="4"/>
      <c r="I11" s="4"/>
      <c r="J11" s="4"/>
      <c r="K11" s="4"/>
      <c r="L11" s="4"/>
      <c r="M11" s="4"/>
      <c r="N11" s="6" t="s">
        <v>54</v>
      </c>
      <c r="O11" s="4">
        <f>IFERROR(GETPIVOTDATA("Full Name",$N$3,"Work Location","Remote"),"0")</f>
        <v>19</v>
      </c>
      <c r="P11" s="4"/>
      <c r="Q11" s="6" t="s">
        <v>75</v>
      </c>
      <c r="R11" s="4">
        <f>IFERROR(GETPIVOTDATA("Full Name",$Q$3,"Skills","Communication"),"0")</f>
        <v>12</v>
      </c>
      <c r="S11" s="4"/>
      <c r="T11" s="6" t="s">
        <v>39</v>
      </c>
      <c r="U11" s="4">
        <f>IFERROR(GETPIVOTDATA("Full Name",$T$3,"Region","Central"),"0")</f>
        <v>14</v>
      </c>
      <c r="V11" s="4"/>
      <c r="W11" s="6" t="s">
        <v>26</v>
      </c>
      <c r="X11" s="9">
        <f>IFERROR(GETPIVOTDATA("Performance Rating",$W$3,"Department","Finance"),"0")</f>
        <v>2.5833333333333335</v>
      </c>
      <c r="Y11" s="4"/>
      <c r="Z11" s="4"/>
    </row>
    <row r="12" spans="2:26">
      <c r="B12" s="6" t="s">
        <v>218</v>
      </c>
      <c r="C12" s="4">
        <f>SUM(C9:C11)</f>
        <v>50</v>
      </c>
      <c r="D12" s="4"/>
      <c r="E12" s="6" t="s">
        <v>40</v>
      </c>
      <c r="F12" s="12">
        <f>IFERROR(GETPIVOTDATA("Salary",$E$3,"Job Title","Designer"),"0")</f>
        <v>613842</v>
      </c>
      <c r="G12" s="13">
        <f>IFERROR(GETPIVOTDATA("Sum of Leave Taken",$E$3,"Job Title","Designer"),"0")</f>
        <v>110</v>
      </c>
      <c r="H12" s="4"/>
      <c r="I12" s="6" t="s">
        <v>23</v>
      </c>
      <c r="J12" s="4">
        <f>IFERROR(GETPIVOTDATA("Full Name",$I$3,"Age range","18-25"),"0")</f>
        <v>9</v>
      </c>
      <c r="K12" s="4"/>
      <c r="L12" s="4"/>
      <c r="M12" s="4"/>
      <c r="N12" s="6" t="s">
        <v>218</v>
      </c>
      <c r="O12" s="4">
        <f>SUM(O9:O11)</f>
        <v>50</v>
      </c>
      <c r="P12" s="4"/>
      <c r="Q12" s="6" t="s">
        <v>34</v>
      </c>
      <c r="R12" s="4">
        <f>IFERROR(GETPIVOTDATA("Full Name",$Q$3,"Skills","Design"),"0")</f>
        <v>11</v>
      </c>
      <c r="S12" s="4"/>
      <c r="T12" s="6" t="s">
        <v>24</v>
      </c>
      <c r="U12" s="4">
        <f>IFERROR(GETPIVOTDATA("Full Name",$T$3,"Region","East"),"0")</f>
        <v>10</v>
      </c>
      <c r="V12" s="4"/>
      <c r="W12" s="6" t="s">
        <v>41</v>
      </c>
      <c r="X12" s="9">
        <f>IFERROR(GETPIVOTDATA("Performance Rating",$W$3,"Department","HR"),"0")</f>
        <v>3.3</v>
      </c>
      <c r="Y12" s="4"/>
      <c r="Z12" s="4"/>
    </row>
    <row r="13" spans="2:26">
      <c r="B13" s="4"/>
      <c r="C13" s="4"/>
      <c r="D13" s="4"/>
      <c r="E13" s="6" t="s">
        <v>72</v>
      </c>
      <c r="F13" s="12">
        <f>IFERROR(GETPIVOTDATA("Salary",$E$3,"Job Title","Developer"),"0")</f>
        <v>633594</v>
      </c>
      <c r="G13" s="13">
        <f>IFERROR(GETPIVOTDATA("Sum of Leave Taken",$E$3,"Job Title","Developer"),"0")</f>
        <v>104</v>
      </c>
      <c r="H13" s="4"/>
      <c r="I13" s="6" t="s">
        <v>38</v>
      </c>
      <c r="J13" s="4">
        <f>IFERROR(GETPIVOTDATA("Full Name",$I$3,"Age range","26-35"),"0")</f>
        <v>13</v>
      </c>
      <c r="K13" s="4"/>
      <c r="L13" s="4"/>
      <c r="M13" s="4"/>
      <c r="N13" s="4"/>
      <c r="O13" s="4"/>
      <c r="P13" s="4"/>
      <c r="Q13" s="6" t="s">
        <v>96</v>
      </c>
      <c r="R13" s="4">
        <f>IFERROR(GETPIVOTDATA("Full Name",$Q$3,"Skills","Excel"),"0")</f>
        <v>7</v>
      </c>
      <c r="S13" s="4"/>
      <c r="T13" s="6" t="s">
        <v>102</v>
      </c>
      <c r="U13" s="4">
        <f>IFERROR(GETPIVOTDATA("Full Name",$T$3,"Region","North"),"0")</f>
        <v>7</v>
      </c>
      <c r="V13" s="4"/>
      <c r="W13" s="6" t="s">
        <v>81</v>
      </c>
      <c r="X13" s="9">
        <f>IFERROR(GETPIVOTDATA("Performance Rating",$W$3,"Department","IT"),"0")</f>
        <v>2.25</v>
      </c>
      <c r="Y13" s="4"/>
      <c r="Z13" s="4"/>
    </row>
    <row r="14" spans="2:26">
      <c r="B14" s="4"/>
      <c r="C14" s="4"/>
      <c r="D14" s="4"/>
      <c r="E14" s="6" t="s">
        <v>50</v>
      </c>
      <c r="F14" s="12">
        <f>IFERROR(GETPIVOTDATA("Salary",$E$3,"Job Title","HR Specialist"),"0")</f>
        <v>959266</v>
      </c>
      <c r="G14" s="13">
        <f>IFERROR(GETPIVOTDATA("Sum of Leave Taken",$E$3,"Job Title","HR Specialist"),"0")</f>
        <v>123</v>
      </c>
      <c r="H14" s="4"/>
      <c r="I14" s="6" t="s">
        <v>59</v>
      </c>
      <c r="J14" s="4">
        <f>IFERROR(GETPIVOTDATA("Full Name",$I$3,"Age range","36-45"),"0")</f>
        <v>12</v>
      </c>
      <c r="K14" s="4"/>
      <c r="L14" s="4"/>
      <c r="M14" s="4"/>
      <c r="N14" s="10">
        <f>SUM(O9)/SUM(O9:O11)</f>
        <v>0.46</v>
      </c>
      <c r="O14" s="11">
        <f>1-N14</f>
        <v>0.54</v>
      </c>
      <c r="P14" s="4"/>
      <c r="Q14" s="6" t="s">
        <v>56</v>
      </c>
      <c r="R14" s="4">
        <f>IFERROR(GETPIVOTDATA("Full Name",$Q$3,"Skills","Management"),"0")</f>
        <v>11</v>
      </c>
      <c r="S14" s="4"/>
      <c r="T14" s="6" t="s">
        <v>80</v>
      </c>
      <c r="U14" s="4">
        <f>IFERROR(GETPIVOTDATA("Full Name",$T$3,"Region","South"),"0")</f>
        <v>10</v>
      </c>
      <c r="V14" s="4"/>
      <c r="W14" s="6" t="s">
        <v>51</v>
      </c>
      <c r="X14" s="9">
        <f>IFERROR(GETPIVOTDATA("Performance Rating",$W$3,"Department","Marketing"),"0")</f>
        <v>2.3636363636363638</v>
      </c>
      <c r="Y14" s="4"/>
      <c r="Z14" s="4"/>
    </row>
    <row r="15" spans="2:26">
      <c r="B15" s="4"/>
      <c r="C15" s="4"/>
      <c r="D15" s="4"/>
      <c r="E15" s="6" t="s">
        <v>25</v>
      </c>
      <c r="F15" s="12">
        <f>IFERROR(GETPIVOTDATA("Salary",$E$3,"Job Title","Manager"),"0")</f>
        <v>731170</v>
      </c>
      <c r="G15" s="13">
        <f>IFERROR(GETPIVOTDATA("Sum of Leave Taken",$E$3,"Job Title","Manager"),"0")</f>
        <v>122</v>
      </c>
      <c r="H15" s="4"/>
      <c r="I15" s="6" t="s">
        <v>98</v>
      </c>
      <c r="J15" s="4">
        <f>IFERROR(GETPIVOTDATA("Full Name",$I$3,"Age range","46-55"),"0")</f>
        <v>7</v>
      </c>
      <c r="K15" s="4"/>
      <c r="L15" s="4"/>
      <c r="M15" s="4"/>
      <c r="N15" s="10">
        <f>SUM(O10)/SUM(O9:O11)</f>
        <v>0.16</v>
      </c>
      <c r="O15" s="11">
        <f t="shared" ref="O15:O16" si="0">1-N15</f>
        <v>0.84</v>
      </c>
      <c r="P15" s="4"/>
      <c r="Q15" s="6" t="s">
        <v>66</v>
      </c>
      <c r="R15" s="4">
        <f>IFERROR(GETPIVOTDATA("Full Name",$Q$3,"Skills","Python"),"0")</f>
        <v>9</v>
      </c>
      <c r="S15" s="4"/>
      <c r="T15" s="6" t="s">
        <v>49</v>
      </c>
      <c r="U15" s="4">
        <f>IFERROR(GETPIVOTDATA("Full Name",$T$3,"Region","West"),"0")</f>
        <v>9</v>
      </c>
      <c r="V15" s="4"/>
      <c r="W15" s="6" t="s">
        <v>60</v>
      </c>
      <c r="X15" s="9">
        <f>IFERROR(GETPIVOTDATA("Performance Rating",$W$3,"Department","Operations"),"0")</f>
        <v>2.5555555555555554</v>
      </c>
      <c r="Y15" s="4"/>
      <c r="Z15" s="4"/>
    </row>
    <row r="16" spans="2:26">
      <c r="B16" s="4"/>
      <c r="C16" s="4"/>
      <c r="D16" s="4"/>
      <c r="E16" s="6" t="s">
        <v>218</v>
      </c>
      <c r="F16" s="12">
        <f>SUM(F11:F15)</f>
        <v>3104913</v>
      </c>
      <c r="G16" s="13">
        <f>SUM(G11:G15)</f>
        <v>487</v>
      </c>
      <c r="H16" s="4"/>
      <c r="I16" s="6" t="s">
        <v>68</v>
      </c>
      <c r="J16" s="4">
        <f>IFERROR(GETPIVOTDATA("Full Name",$I$3,"Age range","56 &lt;"),"0")</f>
        <v>9</v>
      </c>
      <c r="K16" s="4"/>
      <c r="L16" s="4"/>
      <c r="M16" s="4"/>
      <c r="N16" s="10">
        <f>SUM(O11)/SUM(O9:O11)</f>
        <v>0.38</v>
      </c>
      <c r="O16" s="11">
        <f t="shared" si="0"/>
        <v>0.62</v>
      </c>
      <c r="P16" s="4"/>
      <c r="Q16" s="6" t="s">
        <v>218</v>
      </c>
      <c r="R16" s="4">
        <f>SUM(R11:R15)</f>
        <v>50</v>
      </c>
      <c r="S16" s="4"/>
      <c r="T16" s="6" t="s">
        <v>218</v>
      </c>
      <c r="U16" s="4">
        <f>SUM(U11:U15)</f>
        <v>50</v>
      </c>
      <c r="V16" s="4"/>
      <c r="W16" s="6" t="s">
        <v>218</v>
      </c>
      <c r="X16" s="9">
        <f>AVERAGE(X11:X15)</f>
        <v>2.6105050505050502</v>
      </c>
      <c r="Y16" s="4"/>
      <c r="Z16" s="4"/>
    </row>
    <row r="17" spans="2:26">
      <c r="B17" s="4"/>
      <c r="C17" s="4"/>
      <c r="D17" s="4"/>
      <c r="E17" s="4"/>
      <c r="F17" s="4"/>
      <c r="G17" s="4"/>
      <c r="H17" s="4"/>
      <c r="I17" s="6" t="s">
        <v>218</v>
      </c>
      <c r="J17" s="4">
        <f>SUM(J12:J16)</f>
        <v>50</v>
      </c>
      <c r="K17" s="4"/>
      <c r="L17" s="4"/>
      <c r="M17" s="4"/>
      <c r="N17" s="4"/>
      <c r="O17" s="4"/>
      <c r="P17" s="4"/>
      <c r="Q17" s="4"/>
      <c r="R17" s="4"/>
      <c r="S17" s="4"/>
      <c r="T17" s="4"/>
      <c r="U17" s="4"/>
      <c r="V17" s="4"/>
      <c r="W17" s="4"/>
      <c r="X17" s="4"/>
      <c r="Y17" s="4"/>
      <c r="Z17" s="4"/>
    </row>
    <row r="18" spans="2:26">
      <c r="B18" s="4"/>
      <c r="C18" s="4"/>
      <c r="D18" s="4"/>
      <c r="E18" s="4"/>
      <c r="F18" s="4"/>
      <c r="G18" s="4"/>
      <c r="H18" s="4"/>
      <c r="I18" s="4"/>
      <c r="J18" s="4"/>
      <c r="K18" s="4"/>
      <c r="L18" s="4"/>
      <c r="M18" s="4"/>
      <c r="N18" s="4"/>
      <c r="O18" s="4"/>
      <c r="P18" s="4"/>
      <c r="Q18" s="4"/>
      <c r="R18" s="4"/>
      <c r="S18" s="4"/>
      <c r="T18" s="4"/>
      <c r="U18" s="4"/>
      <c r="V18" s="4"/>
      <c r="W18" s="4"/>
      <c r="X18" s="4"/>
      <c r="Y18" s="4"/>
      <c r="Z18" s="4"/>
    </row>
    <row r="19" spans="2:26">
      <c r="B19" s="4"/>
      <c r="C19" s="4"/>
      <c r="D19" s="4"/>
      <c r="E19" s="4"/>
      <c r="F19" s="4"/>
      <c r="G19" s="4"/>
      <c r="H19" s="4"/>
      <c r="I19" s="4"/>
      <c r="J19" s="4"/>
      <c r="K19" s="4"/>
      <c r="L19" s="4"/>
      <c r="M19" s="4"/>
      <c r="N19" s="4"/>
      <c r="O19" s="4"/>
      <c r="P19" s="4"/>
      <c r="Q19" s="4"/>
      <c r="R19" s="4"/>
      <c r="S19" s="4"/>
      <c r="T19" s="4"/>
      <c r="U19" s="4"/>
      <c r="V19" s="4"/>
      <c r="W19" s="4"/>
      <c r="X19" s="4"/>
      <c r="Y19" s="4"/>
      <c r="Z19" s="4"/>
    </row>
    <row r="20" spans="2:26">
      <c r="B20" s="4"/>
      <c r="C20" s="4"/>
      <c r="D20" s="4"/>
      <c r="E20" s="4"/>
      <c r="F20" s="4"/>
      <c r="G20" s="4"/>
      <c r="H20" s="4"/>
      <c r="I20" s="6" t="s">
        <v>223</v>
      </c>
      <c r="J20" s="4">
        <f>IFERROR(GETPIVOTDATA("Full Name",$I$3:$I$3,"Gender","Male"),"0")</f>
        <v>24</v>
      </c>
      <c r="K20" s="11">
        <f>SUM(J20)/SUM($J$20:$J$21)</f>
        <v>0.48</v>
      </c>
      <c r="L20" s="11">
        <f>1-K20</f>
        <v>0.52</v>
      </c>
      <c r="M20" s="4"/>
      <c r="N20" s="4"/>
      <c r="O20" s="4"/>
      <c r="P20" s="4"/>
      <c r="Q20" s="4"/>
      <c r="R20" s="4"/>
      <c r="S20" s="4"/>
      <c r="T20" s="4"/>
      <c r="U20" s="4"/>
      <c r="V20" s="4"/>
      <c r="W20" s="4"/>
      <c r="X20" s="4"/>
      <c r="Y20" s="4"/>
      <c r="Z20" s="4"/>
    </row>
    <row r="21" spans="2:26">
      <c r="B21" s="4"/>
      <c r="C21" s="4"/>
      <c r="D21" s="4"/>
      <c r="E21" s="4"/>
      <c r="F21" s="4"/>
      <c r="G21" s="4"/>
      <c r="H21" s="4"/>
      <c r="I21" s="6" t="s">
        <v>22</v>
      </c>
      <c r="J21" s="4">
        <f>IFERROR(GETPIVOTDATA("Full Name",$I$3,"Gender","Female"),"0")</f>
        <v>26</v>
      </c>
      <c r="K21" s="11">
        <f>SUM(J21)/SUM($J$20:$J$21)</f>
        <v>0.52</v>
      </c>
      <c r="L21" s="11">
        <f>1-K21</f>
        <v>0.48</v>
      </c>
      <c r="M21" s="4"/>
      <c r="N21" s="4"/>
      <c r="O21" s="4"/>
      <c r="P21" s="4"/>
      <c r="Q21" s="4"/>
      <c r="R21" s="4"/>
      <c r="S21" s="4"/>
      <c r="T21" s="4"/>
      <c r="U21" s="4"/>
      <c r="V21" s="4"/>
      <c r="W21" s="4"/>
      <c r="X21" s="4"/>
      <c r="Y21" s="4"/>
      <c r="Z21" s="4"/>
    </row>
    <row r="22" spans="2:26">
      <c r="B22" s="4"/>
      <c r="C22" s="4"/>
      <c r="D22" s="4"/>
      <c r="E22" s="4"/>
      <c r="F22" s="4"/>
      <c r="G22" s="4"/>
      <c r="H22" s="4"/>
      <c r="I22" s="6" t="s">
        <v>218</v>
      </c>
      <c r="J22" s="4">
        <f>SUM(J20:J21)</f>
        <v>50</v>
      </c>
      <c r="K22" s="4"/>
      <c r="L22" s="4"/>
      <c r="M22" s="4"/>
      <c r="N22" s="4"/>
      <c r="O22" s="4"/>
      <c r="P22" s="4"/>
      <c r="Q22" s="4"/>
      <c r="R22" s="4"/>
      <c r="S22" s="4"/>
      <c r="T22" s="4"/>
      <c r="U22" s="4"/>
      <c r="V22" s="4"/>
      <c r="W22" s="4"/>
      <c r="X22" s="4"/>
      <c r="Y22" s="4"/>
      <c r="Z22" s="4"/>
    </row>
    <row r="23" spans="2:26">
      <c r="B23" s="4"/>
      <c r="C23" s="4"/>
      <c r="D23" s="4"/>
      <c r="E23" s="4"/>
      <c r="F23" s="4"/>
      <c r="G23" s="4"/>
      <c r="H23" s="4"/>
      <c r="I23" s="4"/>
      <c r="J23" s="4"/>
      <c r="K23" s="4"/>
      <c r="L23" s="4"/>
      <c r="M23" s="4"/>
      <c r="N23" s="4"/>
      <c r="O23" s="4"/>
      <c r="P23" s="4"/>
      <c r="Q23" s="4"/>
      <c r="R23" s="4"/>
      <c r="S23" s="4"/>
      <c r="T23" s="4"/>
      <c r="U23" s="4"/>
      <c r="V23" s="4"/>
      <c r="W23" s="4"/>
      <c r="X23" s="4"/>
      <c r="Y23" s="4"/>
      <c r="Z23" s="4"/>
    </row>
    <row r="24" spans="2:26">
      <c r="B24" s="4"/>
      <c r="C24" s="4"/>
      <c r="D24" s="4"/>
      <c r="E24" s="4"/>
      <c r="F24" s="4"/>
      <c r="G24" s="4"/>
      <c r="H24" s="4"/>
      <c r="I24" s="4"/>
      <c r="J24" s="4"/>
      <c r="K24" s="4"/>
      <c r="L24" s="4"/>
      <c r="M24" s="4"/>
      <c r="N24" s="4"/>
      <c r="O24" s="4"/>
      <c r="P24" s="4"/>
      <c r="Q24" s="4"/>
      <c r="R24" s="4"/>
      <c r="S24" s="4"/>
      <c r="T24" s="4"/>
      <c r="U24" s="4"/>
      <c r="V24" s="4"/>
      <c r="W24" s="4"/>
      <c r="X24" s="4"/>
      <c r="Y24" s="4"/>
      <c r="Z24" s="4"/>
    </row>
    <row r="25" spans="2:26">
      <c r="E25" s="4"/>
      <c r="F25" s="4"/>
      <c r="G25" s="4"/>
      <c r="H25" s="4"/>
      <c r="I25" s="4"/>
      <c r="J25" s="4"/>
      <c r="K25" s="4"/>
      <c r="L25" s="4"/>
      <c r="M25" s="4"/>
      <c r="N25" s="4"/>
      <c r="O25" s="4"/>
      <c r="P25" s="4"/>
      <c r="Q25" s="4"/>
      <c r="R25" s="4"/>
      <c r="S25" s="4"/>
      <c r="T25" s="4"/>
      <c r="U25" s="4"/>
      <c r="V25" s="4"/>
      <c r="W25" s="4"/>
      <c r="X25" s="4"/>
      <c r="Y25" s="4"/>
      <c r="Z25" s="4"/>
    </row>
    <row r="26" spans="2:26">
      <c r="B26" s="14"/>
      <c r="C26" s="15"/>
      <c r="E26" s="4"/>
      <c r="F26" s="4"/>
      <c r="G26" s="4"/>
      <c r="H26" s="4"/>
      <c r="I26" s="4"/>
      <c r="J26" s="4"/>
      <c r="K26" s="4"/>
      <c r="L26" s="4"/>
      <c r="M26" s="4"/>
      <c r="N26" s="4"/>
      <c r="O26" s="4"/>
      <c r="P26" s="4"/>
      <c r="Q26" s="4"/>
      <c r="R26" s="4"/>
      <c r="S26" s="4"/>
      <c r="T26" s="4"/>
      <c r="U26" s="4"/>
      <c r="V26" s="4"/>
      <c r="W26" s="4"/>
      <c r="X26" s="4"/>
      <c r="Y26" s="4"/>
      <c r="Z26" s="4"/>
    </row>
    <row r="27" spans="2:26">
      <c r="B27" s="14"/>
      <c r="C27" s="15"/>
      <c r="E27" s="4"/>
      <c r="F27" s="4"/>
      <c r="G27" s="4"/>
      <c r="H27" s="4"/>
      <c r="I27" s="4"/>
      <c r="J27" s="4"/>
      <c r="K27" s="4"/>
      <c r="L27" s="4"/>
      <c r="M27" s="4"/>
      <c r="N27" s="4"/>
      <c r="O27" s="4"/>
      <c r="P27" s="4"/>
      <c r="Q27" s="4"/>
      <c r="R27" s="4"/>
      <c r="S27" s="4"/>
      <c r="T27" s="4"/>
      <c r="U27" s="4"/>
      <c r="V27" s="4"/>
      <c r="W27" s="4"/>
      <c r="X27" s="4"/>
      <c r="Y27" s="4"/>
      <c r="Z27" s="4"/>
    </row>
    <row r="28" spans="2:26">
      <c r="B28" s="14"/>
      <c r="C28" s="15"/>
    </row>
    <row r="29" spans="2:26">
      <c r="B29" s="14"/>
      <c r="C29" s="15"/>
    </row>
    <row r="31" spans="2:26">
      <c r="B31" s="14"/>
    </row>
    <row r="32" spans="2:26">
      <c r="B32" s="14"/>
    </row>
    <row r="33" spans="2:2">
      <c r="B33" s="14"/>
    </row>
  </sheetData>
  <mergeCells count="7">
    <mergeCell ref="B2:C2"/>
    <mergeCell ref="E2:G2"/>
    <mergeCell ref="W2:X2"/>
    <mergeCell ref="Q2:R2"/>
    <mergeCell ref="T2:U2"/>
    <mergeCell ref="N2:O2"/>
    <mergeCell ref="I2:L2"/>
  </mergeCell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PivotTable</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RAJ</dc:creator>
  <cp:lastModifiedBy>ANSHU RAJ</cp:lastModifiedBy>
  <dcterms:created xsi:type="dcterms:W3CDTF">2025-11-30T13:21:53Z</dcterms:created>
  <dcterms:modified xsi:type="dcterms:W3CDTF">2025-12-04T14:02:06Z</dcterms:modified>
</cp:coreProperties>
</file>